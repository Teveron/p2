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matta\Documents - Local\School\USF-Classes\COP 4710 Database Design\Project 2\p2\"/>
    </mc:Choice>
  </mc:AlternateContent>
  <xr:revisionPtr revIDLastSave="0" documentId="13_ncr:1_{9E666310-FB83-4B30-861F-B9D2A341EE3B}" xr6:coauthVersionLast="47" xr6:coauthVersionMax="47" xr10:uidLastSave="{00000000-0000-0000-0000-000000000000}"/>
  <bookViews>
    <workbookView xWindow="-108" yWindow="-108" windowWidth="23256" windowHeight="12456" xr2:uid="{76E141BA-BBC7-4BC2-BBE4-0378952866CB}"/>
  </bookViews>
  <sheets>
    <sheet name="Courses" sheetId="5" r:id="rId1"/>
    <sheet name="Course Group Courses" sheetId="7" r:id="rId2"/>
    <sheet name="Course Groups" sheetId="12" r:id="rId3"/>
    <sheet name="BSCP 22" sheetId="1" r:id="rId4"/>
    <sheet name="BSCS 22" sheetId="2" r:id="rId5"/>
    <sheet name="BSCYS 22" sheetId="4" r:id="rId6"/>
    <sheet name="BSIT 22" sheetId="3" r:id="rId7"/>
    <sheet name="BSCP 23" sheetId="8" r:id="rId8"/>
    <sheet name="BSCS 23" sheetId="9" r:id="rId9"/>
    <sheet name="BSCYS 23" sheetId="10" r:id="rId10"/>
    <sheet name="BSIT 23" sheetId="11"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B4" i="5" l="1"/>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3" i="5"/>
  <c r="U4" i="5"/>
  <c r="V4" i="5"/>
  <c r="W4" i="5"/>
  <c r="U5" i="5"/>
  <c r="V5" i="5"/>
  <c r="W5" i="5"/>
  <c r="U6" i="5"/>
  <c r="V6" i="5"/>
  <c r="W6" i="5"/>
  <c r="U7" i="5"/>
  <c r="V7" i="5"/>
  <c r="W7" i="5"/>
  <c r="U8" i="5"/>
  <c r="V8" i="5"/>
  <c r="W8" i="5"/>
  <c r="U9" i="5"/>
  <c r="V9" i="5"/>
  <c r="W9" i="5"/>
  <c r="U10" i="5"/>
  <c r="V10" i="5"/>
  <c r="W10" i="5"/>
  <c r="U11" i="5"/>
  <c r="V11" i="5"/>
  <c r="W11" i="5"/>
  <c r="U12" i="5"/>
  <c r="V12" i="5"/>
  <c r="W12" i="5"/>
  <c r="U13" i="5"/>
  <c r="V13" i="5"/>
  <c r="W13" i="5"/>
  <c r="U14" i="5"/>
  <c r="V14" i="5"/>
  <c r="W14" i="5"/>
  <c r="U15" i="5"/>
  <c r="V15" i="5"/>
  <c r="W15" i="5"/>
  <c r="U16" i="5"/>
  <c r="V16" i="5"/>
  <c r="W16" i="5"/>
  <c r="U17" i="5"/>
  <c r="V17" i="5"/>
  <c r="W17" i="5"/>
  <c r="U18" i="5"/>
  <c r="V18" i="5"/>
  <c r="W18" i="5"/>
  <c r="U19" i="5"/>
  <c r="V19" i="5"/>
  <c r="W19" i="5"/>
  <c r="U20" i="5"/>
  <c r="V20" i="5"/>
  <c r="W20" i="5"/>
  <c r="U21" i="5"/>
  <c r="V21" i="5"/>
  <c r="W21" i="5"/>
  <c r="U22" i="5"/>
  <c r="V22" i="5"/>
  <c r="W22" i="5"/>
  <c r="U23" i="5"/>
  <c r="V23" i="5"/>
  <c r="W23" i="5"/>
  <c r="U24" i="5"/>
  <c r="V24" i="5"/>
  <c r="W24" i="5"/>
  <c r="U25" i="5"/>
  <c r="V25" i="5"/>
  <c r="W25" i="5"/>
  <c r="U26" i="5"/>
  <c r="V26" i="5"/>
  <c r="W26" i="5"/>
  <c r="U27" i="5"/>
  <c r="V27" i="5"/>
  <c r="W27" i="5"/>
  <c r="U28" i="5"/>
  <c r="V28" i="5"/>
  <c r="W28" i="5"/>
  <c r="U29" i="5"/>
  <c r="V29" i="5"/>
  <c r="W29" i="5"/>
  <c r="U30" i="5"/>
  <c r="V30" i="5"/>
  <c r="W30" i="5"/>
  <c r="U31" i="5"/>
  <c r="V31" i="5"/>
  <c r="W31" i="5"/>
  <c r="U32" i="5"/>
  <c r="V32" i="5"/>
  <c r="W32" i="5"/>
  <c r="U33" i="5"/>
  <c r="V33" i="5"/>
  <c r="W33" i="5"/>
  <c r="U34" i="5"/>
  <c r="V34" i="5"/>
  <c r="W34" i="5"/>
  <c r="U35" i="5"/>
  <c r="V35" i="5"/>
  <c r="W35" i="5"/>
  <c r="U36" i="5"/>
  <c r="V36" i="5"/>
  <c r="W36" i="5"/>
  <c r="U37" i="5"/>
  <c r="V37" i="5"/>
  <c r="W37" i="5"/>
  <c r="U38" i="5"/>
  <c r="V38" i="5"/>
  <c r="W38" i="5"/>
  <c r="U39" i="5"/>
  <c r="V39" i="5"/>
  <c r="W39" i="5"/>
  <c r="U40" i="5"/>
  <c r="V40" i="5"/>
  <c r="W40" i="5"/>
  <c r="U41" i="5"/>
  <c r="V41" i="5"/>
  <c r="W41" i="5"/>
  <c r="U42" i="5"/>
  <c r="V42" i="5"/>
  <c r="W42" i="5"/>
  <c r="U43" i="5"/>
  <c r="V43" i="5"/>
  <c r="W43" i="5"/>
  <c r="U44" i="5"/>
  <c r="V44" i="5"/>
  <c r="W44" i="5"/>
  <c r="U45" i="5"/>
  <c r="V45" i="5"/>
  <c r="W45" i="5"/>
  <c r="U46" i="5"/>
  <c r="V46" i="5"/>
  <c r="W46" i="5"/>
  <c r="U47" i="5"/>
  <c r="V47" i="5"/>
  <c r="W47" i="5"/>
  <c r="U48" i="5"/>
  <c r="V48" i="5"/>
  <c r="W48" i="5"/>
  <c r="U49" i="5"/>
  <c r="V49" i="5"/>
  <c r="W49" i="5"/>
  <c r="U50" i="5"/>
  <c r="V50" i="5"/>
  <c r="W50" i="5"/>
  <c r="U51" i="5"/>
  <c r="V51" i="5"/>
  <c r="W51" i="5"/>
  <c r="U52" i="5"/>
  <c r="V52" i="5"/>
  <c r="W52" i="5"/>
  <c r="U53" i="5"/>
  <c r="V53" i="5"/>
  <c r="W53" i="5"/>
  <c r="U54" i="5"/>
  <c r="V54" i="5"/>
  <c r="W54" i="5"/>
  <c r="U55" i="5"/>
  <c r="V55" i="5"/>
  <c r="W55" i="5"/>
  <c r="U56" i="5"/>
  <c r="V56" i="5"/>
  <c r="W56" i="5"/>
  <c r="U57" i="5"/>
  <c r="V57" i="5"/>
  <c r="W57" i="5"/>
  <c r="U58" i="5"/>
  <c r="V58" i="5"/>
  <c r="W58" i="5"/>
  <c r="U59" i="5"/>
  <c r="V59" i="5"/>
  <c r="W59" i="5"/>
  <c r="U60" i="5"/>
  <c r="V60" i="5"/>
  <c r="W60" i="5"/>
  <c r="U61" i="5"/>
  <c r="V61" i="5"/>
  <c r="W61" i="5"/>
  <c r="U62" i="5"/>
  <c r="V62" i="5"/>
  <c r="W62" i="5"/>
  <c r="U63" i="5"/>
  <c r="V63" i="5"/>
  <c r="W63" i="5"/>
  <c r="U64" i="5"/>
  <c r="V64" i="5"/>
  <c r="W64" i="5"/>
  <c r="U65" i="5"/>
  <c r="V65" i="5"/>
  <c r="W65" i="5"/>
  <c r="U66" i="5"/>
  <c r="V66" i="5"/>
  <c r="W66" i="5"/>
  <c r="U67" i="5"/>
  <c r="V67" i="5"/>
  <c r="W67" i="5"/>
  <c r="U68" i="5"/>
  <c r="V68" i="5"/>
  <c r="W68" i="5"/>
  <c r="U69" i="5"/>
  <c r="V69" i="5"/>
  <c r="W69" i="5"/>
  <c r="U70" i="5"/>
  <c r="V70" i="5"/>
  <c r="W70" i="5"/>
  <c r="U71" i="5"/>
  <c r="V71" i="5"/>
  <c r="W71" i="5"/>
  <c r="U72" i="5"/>
  <c r="V72" i="5"/>
  <c r="W72" i="5"/>
  <c r="U73" i="5"/>
  <c r="V73" i="5"/>
  <c r="W73" i="5"/>
  <c r="U74" i="5"/>
  <c r="V74" i="5"/>
  <c r="W74" i="5"/>
  <c r="U75" i="5"/>
  <c r="V75" i="5"/>
  <c r="W75" i="5"/>
  <c r="U76" i="5"/>
  <c r="V76" i="5"/>
  <c r="W76" i="5"/>
  <c r="U77" i="5"/>
  <c r="V77" i="5"/>
  <c r="W77" i="5"/>
  <c r="U78" i="5"/>
  <c r="V78" i="5"/>
  <c r="W78" i="5"/>
  <c r="U79" i="5"/>
  <c r="V79" i="5"/>
  <c r="W79" i="5"/>
  <c r="U80" i="5"/>
  <c r="V80" i="5"/>
  <c r="W80" i="5"/>
  <c r="U81" i="5"/>
  <c r="V81" i="5"/>
  <c r="W81" i="5"/>
  <c r="U82" i="5"/>
  <c r="V82" i="5"/>
  <c r="W82" i="5"/>
  <c r="U83" i="5"/>
  <c r="V83" i="5"/>
  <c r="W83" i="5"/>
  <c r="U84" i="5"/>
  <c r="V84" i="5"/>
  <c r="W84" i="5"/>
  <c r="U85" i="5"/>
  <c r="V85" i="5"/>
  <c r="W85" i="5"/>
  <c r="U86" i="5"/>
  <c r="V86" i="5"/>
  <c r="W86" i="5"/>
  <c r="U87" i="5"/>
  <c r="V87" i="5"/>
  <c r="W87" i="5"/>
  <c r="U88" i="5"/>
  <c r="V88" i="5"/>
  <c r="W88" i="5"/>
  <c r="U89" i="5"/>
  <c r="V89" i="5"/>
  <c r="W89" i="5"/>
  <c r="U90" i="5"/>
  <c r="V90" i="5"/>
  <c r="W90" i="5"/>
  <c r="U91" i="5"/>
  <c r="V91" i="5"/>
  <c r="W91" i="5"/>
  <c r="U92" i="5"/>
  <c r="V92" i="5"/>
  <c r="W92" i="5"/>
  <c r="U93" i="5"/>
  <c r="V93" i="5"/>
  <c r="W93" i="5"/>
  <c r="U94" i="5"/>
  <c r="V94" i="5"/>
  <c r="W94" i="5"/>
  <c r="U95" i="5"/>
  <c r="V95" i="5"/>
  <c r="W95" i="5"/>
  <c r="U96" i="5"/>
  <c r="V96" i="5"/>
  <c r="W96" i="5"/>
  <c r="U97" i="5"/>
  <c r="V97" i="5"/>
  <c r="W97" i="5"/>
  <c r="U98" i="5"/>
  <c r="V98" i="5"/>
  <c r="W98" i="5"/>
  <c r="U99" i="5"/>
  <c r="V99" i="5"/>
  <c r="W99" i="5"/>
  <c r="U100" i="5"/>
  <c r="V100" i="5"/>
  <c r="W100" i="5"/>
  <c r="U101" i="5"/>
  <c r="V101" i="5"/>
  <c r="W101" i="5"/>
  <c r="U102" i="5"/>
  <c r="V102" i="5"/>
  <c r="W102" i="5"/>
  <c r="U103" i="5"/>
  <c r="V103" i="5"/>
  <c r="W103" i="5"/>
  <c r="U104" i="5"/>
  <c r="V104" i="5"/>
  <c r="W104" i="5"/>
  <c r="U105" i="5"/>
  <c r="V105" i="5"/>
  <c r="W105" i="5"/>
  <c r="U106" i="5"/>
  <c r="V106" i="5"/>
  <c r="W106" i="5"/>
  <c r="U107" i="5"/>
  <c r="V107" i="5"/>
  <c r="W107" i="5"/>
  <c r="U108" i="5"/>
  <c r="V108" i="5"/>
  <c r="W108" i="5"/>
  <c r="U109" i="5"/>
  <c r="V109" i="5"/>
  <c r="W109" i="5"/>
  <c r="U110" i="5"/>
  <c r="V110" i="5"/>
  <c r="W110" i="5"/>
  <c r="U111" i="5"/>
  <c r="V111" i="5"/>
  <c r="W111" i="5"/>
  <c r="U112" i="5"/>
  <c r="V112" i="5"/>
  <c r="W112" i="5"/>
  <c r="U113" i="5"/>
  <c r="V113" i="5"/>
  <c r="W113" i="5"/>
  <c r="U114" i="5"/>
  <c r="V114" i="5"/>
  <c r="W114" i="5"/>
  <c r="U115" i="5"/>
  <c r="V115" i="5"/>
  <c r="W115" i="5"/>
  <c r="U116" i="5"/>
  <c r="V116" i="5"/>
  <c r="W116" i="5"/>
  <c r="U117" i="5"/>
  <c r="V117" i="5"/>
  <c r="W117" i="5"/>
  <c r="U118" i="5"/>
  <c r="V118" i="5"/>
  <c r="W118" i="5"/>
  <c r="U119" i="5"/>
  <c r="V119" i="5"/>
  <c r="W119" i="5"/>
  <c r="U120" i="5"/>
  <c r="V120" i="5"/>
  <c r="W120" i="5"/>
  <c r="U121" i="5"/>
  <c r="V121" i="5"/>
  <c r="W121" i="5"/>
  <c r="U122" i="5"/>
  <c r="V122" i="5"/>
  <c r="W122" i="5"/>
  <c r="U123" i="5"/>
  <c r="V123" i="5"/>
  <c r="W123" i="5"/>
  <c r="U124" i="5"/>
  <c r="V124" i="5"/>
  <c r="W124" i="5"/>
  <c r="U125" i="5"/>
  <c r="V125" i="5"/>
  <c r="W125" i="5"/>
  <c r="U126" i="5"/>
  <c r="V126" i="5"/>
  <c r="W126" i="5"/>
  <c r="U127" i="5"/>
  <c r="V127" i="5"/>
  <c r="W127" i="5"/>
  <c r="U128" i="5"/>
  <c r="V128" i="5"/>
  <c r="W128" i="5"/>
  <c r="U129" i="5"/>
  <c r="V129" i="5"/>
  <c r="W129" i="5"/>
  <c r="U130" i="5"/>
  <c r="V130" i="5"/>
  <c r="W130" i="5"/>
  <c r="U131" i="5"/>
  <c r="V131" i="5"/>
  <c r="W131" i="5"/>
  <c r="U132" i="5"/>
  <c r="V132" i="5"/>
  <c r="W132" i="5"/>
  <c r="U133" i="5"/>
  <c r="V133" i="5"/>
  <c r="W133" i="5"/>
  <c r="U134" i="5"/>
  <c r="V134" i="5"/>
  <c r="W134" i="5"/>
  <c r="U135" i="5"/>
  <c r="V135" i="5"/>
  <c r="W135" i="5"/>
  <c r="U136" i="5"/>
  <c r="V136" i="5"/>
  <c r="W136" i="5"/>
  <c r="U137" i="5"/>
  <c r="V137" i="5"/>
  <c r="W137" i="5"/>
  <c r="U138" i="5"/>
  <c r="V138" i="5"/>
  <c r="W138" i="5"/>
  <c r="U139" i="5"/>
  <c r="V139" i="5"/>
  <c r="W139" i="5"/>
  <c r="U140" i="5"/>
  <c r="V140" i="5"/>
  <c r="W140" i="5"/>
  <c r="U141" i="5"/>
  <c r="V141" i="5"/>
  <c r="W141" i="5"/>
  <c r="U142" i="5"/>
  <c r="V142" i="5"/>
  <c r="W142" i="5"/>
  <c r="U143" i="5"/>
  <c r="V143" i="5"/>
  <c r="W143" i="5"/>
  <c r="U144" i="5"/>
  <c r="V144" i="5"/>
  <c r="W144" i="5"/>
  <c r="U145" i="5"/>
  <c r="V145" i="5"/>
  <c r="W145" i="5"/>
  <c r="U146" i="5"/>
  <c r="V146" i="5"/>
  <c r="W146" i="5"/>
  <c r="U147" i="5"/>
  <c r="V147" i="5"/>
  <c r="W147" i="5"/>
  <c r="U148" i="5"/>
  <c r="V148" i="5"/>
  <c r="W148" i="5"/>
  <c r="U149" i="5"/>
  <c r="V149" i="5"/>
  <c r="W149" i="5"/>
  <c r="U150" i="5"/>
  <c r="V150" i="5"/>
  <c r="W150" i="5"/>
  <c r="U151" i="5"/>
  <c r="V151" i="5"/>
  <c r="W151" i="5"/>
  <c r="U152" i="5"/>
  <c r="V152" i="5"/>
  <c r="W152" i="5"/>
  <c r="U153" i="5"/>
  <c r="V153" i="5"/>
  <c r="W153" i="5"/>
  <c r="U154" i="5"/>
  <c r="V154" i="5"/>
  <c r="W154" i="5"/>
  <c r="U155" i="5"/>
  <c r="V155" i="5"/>
  <c r="W155" i="5"/>
  <c r="U156" i="5"/>
  <c r="V156" i="5"/>
  <c r="W156" i="5"/>
  <c r="U157" i="5"/>
  <c r="V157" i="5"/>
  <c r="W157" i="5"/>
  <c r="U158" i="5"/>
  <c r="V158" i="5"/>
  <c r="W158" i="5"/>
  <c r="U159" i="5"/>
  <c r="V159" i="5"/>
  <c r="W159" i="5"/>
  <c r="U160" i="5"/>
  <c r="V160" i="5"/>
  <c r="W160" i="5"/>
  <c r="U161" i="5"/>
  <c r="V161" i="5"/>
  <c r="W161" i="5"/>
  <c r="U162" i="5"/>
  <c r="V162" i="5"/>
  <c r="W162" i="5"/>
  <c r="U163" i="5"/>
  <c r="V163" i="5"/>
  <c r="W163" i="5"/>
  <c r="U164" i="5"/>
  <c r="V164" i="5"/>
  <c r="W164" i="5"/>
  <c r="U165" i="5"/>
  <c r="V165" i="5"/>
  <c r="W165" i="5"/>
  <c r="U166" i="5"/>
  <c r="V166" i="5"/>
  <c r="W166" i="5"/>
  <c r="U167" i="5"/>
  <c r="V167" i="5"/>
  <c r="W167" i="5"/>
  <c r="U168" i="5"/>
  <c r="V168" i="5"/>
  <c r="W168" i="5"/>
  <c r="U169" i="5"/>
  <c r="V169" i="5"/>
  <c r="W169" i="5"/>
  <c r="V3" i="5"/>
  <c r="W3" i="5"/>
  <c r="U3" i="5"/>
  <c r="AS479" i="7"/>
  <c r="U479" i="7"/>
  <c r="BF478" i="7"/>
  <c r="BE478" i="7"/>
  <c r="BD478" i="7"/>
  <c r="BC478" i="7"/>
  <c r="BB478" i="7"/>
  <c r="BA478" i="7"/>
  <c r="AZ478" i="7"/>
  <c r="AY478" i="7"/>
  <c r="AX478" i="7"/>
  <c r="AW478" i="7"/>
  <c r="AV478" i="7"/>
  <c r="AU478" i="7"/>
  <c r="AT478" i="7"/>
  <c r="AS478" i="7"/>
  <c r="AR478" i="7"/>
  <c r="AQ478" i="7"/>
  <c r="AP478" i="7"/>
  <c r="AO478" i="7"/>
  <c r="AN478" i="7"/>
  <c r="AM478" i="7"/>
  <c r="AL478" i="7"/>
  <c r="AK478" i="7"/>
  <c r="AJ478" i="7"/>
  <c r="AI478" i="7"/>
  <c r="AH478" i="7"/>
  <c r="AG478" i="7"/>
  <c r="AF478" i="7"/>
  <c r="AE478" i="7"/>
  <c r="AD478" i="7"/>
  <c r="AC478" i="7"/>
  <c r="AB478" i="7"/>
  <c r="AA478" i="7"/>
  <c r="Z478" i="7"/>
  <c r="Y478" i="7"/>
  <c r="X478" i="7"/>
  <c r="W478" i="7"/>
  <c r="V478" i="7"/>
  <c r="U478" i="7"/>
  <c r="T478" i="7"/>
  <c r="S478" i="7"/>
  <c r="R478" i="7"/>
  <c r="Q478" i="7"/>
  <c r="P478" i="7"/>
  <c r="O478" i="7"/>
  <c r="N478" i="7"/>
  <c r="M478" i="7"/>
  <c r="L478" i="7"/>
  <c r="K478" i="7"/>
  <c r="J478" i="7"/>
  <c r="I478" i="7"/>
  <c r="H478" i="7"/>
  <c r="G478" i="7"/>
  <c r="F478" i="7"/>
  <c r="E478" i="7"/>
  <c r="D478" i="7"/>
  <c r="C478" i="7"/>
  <c r="B478" i="7"/>
  <c r="A478" i="7"/>
  <c r="BF477" i="7"/>
  <c r="BE477" i="7"/>
  <c r="BD477" i="7"/>
  <c r="BC477" i="7"/>
  <c r="BB477" i="7"/>
  <c r="BA477" i="7"/>
  <c r="AZ477" i="7"/>
  <c r="AY477" i="7"/>
  <c r="AX477" i="7"/>
  <c r="AW477" i="7"/>
  <c r="AV477" i="7"/>
  <c r="AU477" i="7"/>
  <c r="AT477" i="7"/>
  <c r="AS477" i="7"/>
  <c r="AR477" i="7"/>
  <c r="AQ477" i="7"/>
  <c r="AP477" i="7"/>
  <c r="AO477" i="7"/>
  <c r="AN477" i="7"/>
  <c r="AM477" i="7"/>
  <c r="AL477" i="7"/>
  <c r="AK477" i="7"/>
  <c r="AJ477" i="7"/>
  <c r="AI477" i="7"/>
  <c r="AH477" i="7"/>
  <c r="AG477" i="7"/>
  <c r="AF477" i="7"/>
  <c r="AE477" i="7"/>
  <c r="AD477" i="7"/>
  <c r="AC477" i="7"/>
  <c r="AB477" i="7"/>
  <c r="AA477" i="7"/>
  <c r="Z477" i="7"/>
  <c r="Y477" i="7"/>
  <c r="X477" i="7"/>
  <c r="W477" i="7"/>
  <c r="V477" i="7"/>
  <c r="U477" i="7"/>
  <c r="T477" i="7"/>
  <c r="S477" i="7"/>
  <c r="R477" i="7"/>
  <c r="Q477" i="7"/>
  <c r="P477" i="7"/>
  <c r="O477" i="7"/>
  <c r="N477" i="7"/>
  <c r="M477" i="7"/>
  <c r="L477" i="7"/>
  <c r="K477" i="7"/>
  <c r="J477" i="7"/>
  <c r="I477" i="7"/>
  <c r="H477" i="7"/>
  <c r="G477" i="7"/>
  <c r="F477" i="7"/>
  <c r="E477" i="7"/>
  <c r="D477" i="7"/>
  <c r="C477" i="7"/>
  <c r="B477" i="7"/>
  <c r="A477" i="7"/>
  <c r="BF476" i="7"/>
  <c r="BE476" i="7"/>
  <c r="BD476" i="7"/>
  <c r="BC476" i="7"/>
  <c r="BB476" i="7"/>
  <c r="BA476" i="7"/>
  <c r="AZ476" i="7"/>
  <c r="AY476" i="7"/>
  <c r="AX476" i="7"/>
  <c r="AW476" i="7"/>
  <c r="AV476" i="7"/>
  <c r="AU476" i="7"/>
  <c r="AT476" i="7"/>
  <c r="AS476" i="7"/>
  <c r="AR476" i="7"/>
  <c r="AQ476" i="7"/>
  <c r="AP476" i="7"/>
  <c r="AO476" i="7"/>
  <c r="AN476" i="7"/>
  <c r="AM476" i="7"/>
  <c r="AL476" i="7"/>
  <c r="AK476" i="7"/>
  <c r="AJ476" i="7"/>
  <c r="AI476" i="7"/>
  <c r="AH476" i="7"/>
  <c r="AG476" i="7"/>
  <c r="AF476" i="7"/>
  <c r="AE476" i="7"/>
  <c r="AD476" i="7"/>
  <c r="AC476" i="7"/>
  <c r="AB476" i="7"/>
  <c r="AA476" i="7"/>
  <c r="Z476" i="7"/>
  <c r="Y476" i="7"/>
  <c r="X476" i="7"/>
  <c r="W476" i="7"/>
  <c r="V476" i="7"/>
  <c r="U476" i="7"/>
  <c r="T476" i="7"/>
  <c r="S476" i="7"/>
  <c r="R476" i="7"/>
  <c r="Q476" i="7"/>
  <c r="P476" i="7"/>
  <c r="O476" i="7"/>
  <c r="N476" i="7"/>
  <c r="M476" i="7"/>
  <c r="L476" i="7"/>
  <c r="K476" i="7"/>
  <c r="J476" i="7"/>
  <c r="I476" i="7"/>
  <c r="H476" i="7"/>
  <c r="G476" i="7"/>
  <c r="F476" i="7"/>
  <c r="E476" i="7"/>
  <c r="D476" i="7"/>
  <c r="C476" i="7"/>
  <c r="B476" i="7"/>
  <c r="A476" i="7"/>
  <c r="BF475" i="7"/>
  <c r="BE475" i="7"/>
  <c r="BD475" i="7"/>
  <c r="BC475" i="7"/>
  <c r="BB475" i="7"/>
  <c r="BA475" i="7"/>
  <c r="AZ475" i="7"/>
  <c r="AY475" i="7"/>
  <c r="AX475" i="7"/>
  <c r="AW475" i="7"/>
  <c r="AV475" i="7"/>
  <c r="AU475" i="7"/>
  <c r="AT475" i="7"/>
  <c r="AS475" i="7"/>
  <c r="AR475" i="7"/>
  <c r="AQ475" i="7"/>
  <c r="AP475" i="7"/>
  <c r="AO475" i="7"/>
  <c r="AN475" i="7"/>
  <c r="AM475" i="7"/>
  <c r="AL475" i="7"/>
  <c r="AK475" i="7"/>
  <c r="AJ475" i="7"/>
  <c r="AI475" i="7"/>
  <c r="AH475" i="7"/>
  <c r="AG475" i="7"/>
  <c r="AF475" i="7"/>
  <c r="AE475" i="7"/>
  <c r="AD475" i="7"/>
  <c r="AC475" i="7"/>
  <c r="AB475" i="7"/>
  <c r="AA475" i="7"/>
  <c r="Z475" i="7"/>
  <c r="Y475" i="7"/>
  <c r="X475" i="7"/>
  <c r="W475" i="7"/>
  <c r="V475" i="7"/>
  <c r="U475" i="7"/>
  <c r="T475" i="7"/>
  <c r="S475" i="7"/>
  <c r="R475" i="7"/>
  <c r="Q475" i="7"/>
  <c r="P475" i="7"/>
  <c r="O475" i="7"/>
  <c r="N475" i="7"/>
  <c r="M475" i="7"/>
  <c r="L475" i="7"/>
  <c r="K475" i="7"/>
  <c r="J475" i="7"/>
  <c r="I475" i="7"/>
  <c r="H475" i="7"/>
  <c r="G475" i="7"/>
  <c r="F475" i="7"/>
  <c r="E475" i="7"/>
  <c r="D475" i="7"/>
  <c r="C475" i="7"/>
  <c r="B475" i="7"/>
  <c r="A475" i="7"/>
  <c r="BF474" i="7"/>
  <c r="BE474" i="7"/>
  <c r="BD474" i="7"/>
  <c r="BC474" i="7"/>
  <c r="BB474" i="7"/>
  <c r="BA474" i="7"/>
  <c r="AZ474" i="7"/>
  <c r="AY474" i="7"/>
  <c r="AX474" i="7"/>
  <c r="AW474" i="7"/>
  <c r="AV474" i="7"/>
  <c r="AU474" i="7"/>
  <c r="AT474" i="7"/>
  <c r="AS474" i="7"/>
  <c r="AR474" i="7"/>
  <c r="AQ474" i="7"/>
  <c r="AP474" i="7"/>
  <c r="AO474" i="7"/>
  <c r="AN474" i="7"/>
  <c r="AM474" i="7"/>
  <c r="AL474" i="7"/>
  <c r="AK474" i="7"/>
  <c r="AJ474" i="7"/>
  <c r="AI474" i="7"/>
  <c r="AH474" i="7"/>
  <c r="AG474" i="7"/>
  <c r="AF474" i="7"/>
  <c r="AE474" i="7"/>
  <c r="AD474" i="7"/>
  <c r="AC474" i="7"/>
  <c r="AB474" i="7"/>
  <c r="AA474" i="7"/>
  <c r="Z474" i="7"/>
  <c r="Y474" i="7"/>
  <c r="X474" i="7"/>
  <c r="W474" i="7"/>
  <c r="V474" i="7"/>
  <c r="U474" i="7"/>
  <c r="T474" i="7"/>
  <c r="S474" i="7"/>
  <c r="R474" i="7"/>
  <c r="Q474" i="7"/>
  <c r="P474" i="7"/>
  <c r="O474" i="7"/>
  <c r="N474" i="7"/>
  <c r="M474" i="7"/>
  <c r="L474" i="7"/>
  <c r="K474" i="7"/>
  <c r="J474" i="7"/>
  <c r="I474" i="7"/>
  <c r="H474" i="7"/>
  <c r="G474" i="7"/>
  <c r="F474" i="7"/>
  <c r="E474" i="7"/>
  <c r="D474" i="7"/>
  <c r="C474" i="7"/>
  <c r="B474" i="7"/>
  <c r="A474" i="7"/>
  <c r="BF473" i="7"/>
  <c r="BE473" i="7"/>
  <c r="BD473" i="7"/>
  <c r="BC473" i="7"/>
  <c r="BB473" i="7"/>
  <c r="BA473" i="7"/>
  <c r="AZ473" i="7"/>
  <c r="AY473" i="7"/>
  <c r="AX473" i="7"/>
  <c r="AW473" i="7"/>
  <c r="AV473" i="7"/>
  <c r="AU473" i="7"/>
  <c r="AT473" i="7"/>
  <c r="AS473" i="7"/>
  <c r="AR473" i="7"/>
  <c r="AQ473" i="7"/>
  <c r="AP473" i="7"/>
  <c r="AO473" i="7"/>
  <c r="AN473" i="7"/>
  <c r="AM473" i="7"/>
  <c r="AL473" i="7"/>
  <c r="AK473" i="7"/>
  <c r="AJ473" i="7"/>
  <c r="AI473" i="7"/>
  <c r="AH473" i="7"/>
  <c r="AG473" i="7"/>
  <c r="AF473" i="7"/>
  <c r="AE473" i="7"/>
  <c r="AD473" i="7"/>
  <c r="AC473" i="7"/>
  <c r="AB473" i="7"/>
  <c r="AA473" i="7"/>
  <c r="Z473" i="7"/>
  <c r="Y473" i="7"/>
  <c r="X473" i="7"/>
  <c r="W473" i="7"/>
  <c r="V473" i="7"/>
  <c r="U473" i="7"/>
  <c r="T473" i="7"/>
  <c r="S473" i="7"/>
  <c r="R473" i="7"/>
  <c r="Q473" i="7"/>
  <c r="P473" i="7"/>
  <c r="O473" i="7"/>
  <c r="N473" i="7"/>
  <c r="M473" i="7"/>
  <c r="L473" i="7"/>
  <c r="K473" i="7"/>
  <c r="J473" i="7"/>
  <c r="I473" i="7"/>
  <c r="H473" i="7"/>
  <c r="G473" i="7"/>
  <c r="F473" i="7"/>
  <c r="E473" i="7"/>
  <c r="D473" i="7"/>
  <c r="C473" i="7"/>
  <c r="B473" i="7"/>
  <c r="A473" i="7"/>
  <c r="BF472" i="7"/>
  <c r="BE472" i="7"/>
  <c r="BD472" i="7"/>
  <c r="BC472" i="7"/>
  <c r="BB472" i="7"/>
  <c r="BA472" i="7"/>
  <c r="AZ472" i="7"/>
  <c r="AY472" i="7"/>
  <c r="AX472" i="7"/>
  <c r="AW472" i="7"/>
  <c r="AV472" i="7"/>
  <c r="AU472" i="7"/>
  <c r="AT472" i="7"/>
  <c r="AS472" i="7"/>
  <c r="AR472" i="7"/>
  <c r="AQ472" i="7"/>
  <c r="AP472" i="7"/>
  <c r="AO472" i="7"/>
  <c r="AN472" i="7"/>
  <c r="AM472" i="7"/>
  <c r="AL472" i="7"/>
  <c r="AK472" i="7"/>
  <c r="AJ472" i="7"/>
  <c r="AI472" i="7"/>
  <c r="AH472" i="7"/>
  <c r="AG472" i="7"/>
  <c r="AF472" i="7"/>
  <c r="AE472" i="7"/>
  <c r="AD472" i="7"/>
  <c r="AC472" i="7"/>
  <c r="AB472" i="7"/>
  <c r="AA472" i="7"/>
  <c r="Z472" i="7"/>
  <c r="Y472" i="7"/>
  <c r="X472" i="7"/>
  <c r="W472" i="7"/>
  <c r="V472" i="7"/>
  <c r="U472" i="7"/>
  <c r="T472" i="7"/>
  <c r="S472" i="7"/>
  <c r="R472" i="7"/>
  <c r="Q472" i="7"/>
  <c r="P472" i="7"/>
  <c r="O472" i="7"/>
  <c r="N472" i="7"/>
  <c r="M472" i="7"/>
  <c r="L472" i="7"/>
  <c r="K472" i="7"/>
  <c r="J472" i="7"/>
  <c r="I472" i="7"/>
  <c r="H472" i="7"/>
  <c r="G472" i="7"/>
  <c r="F472" i="7"/>
  <c r="E472" i="7"/>
  <c r="D472" i="7"/>
  <c r="C472" i="7"/>
  <c r="B472" i="7"/>
  <c r="A472" i="7"/>
  <c r="BF471" i="7"/>
  <c r="BE471" i="7"/>
  <c r="BD471" i="7"/>
  <c r="BC471" i="7"/>
  <c r="BB471" i="7"/>
  <c r="BA471" i="7"/>
  <c r="AZ471" i="7"/>
  <c r="AY471" i="7"/>
  <c r="AX471" i="7"/>
  <c r="AW471" i="7"/>
  <c r="AV471" i="7"/>
  <c r="AU471" i="7"/>
  <c r="AT471" i="7"/>
  <c r="AS471" i="7"/>
  <c r="AR471" i="7"/>
  <c r="AQ471" i="7"/>
  <c r="AP471" i="7"/>
  <c r="AO471" i="7"/>
  <c r="AN471" i="7"/>
  <c r="AM471" i="7"/>
  <c r="AL471" i="7"/>
  <c r="AK471" i="7"/>
  <c r="AJ471" i="7"/>
  <c r="AI471" i="7"/>
  <c r="AH471" i="7"/>
  <c r="AG471" i="7"/>
  <c r="AF471" i="7"/>
  <c r="AE471" i="7"/>
  <c r="AD471" i="7"/>
  <c r="AC471" i="7"/>
  <c r="AB471" i="7"/>
  <c r="AA471" i="7"/>
  <c r="Z471" i="7"/>
  <c r="Y471" i="7"/>
  <c r="X471" i="7"/>
  <c r="W471" i="7"/>
  <c r="V471" i="7"/>
  <c r="U471" i="7"/>
  <c r="T471" i="7"/>
  <c r="S471" i="7"/>
  <c r="R471" i="7"/>
  <c r="Q471" i="7"/>
  <c r="P471" i="7"/>
  <c r="O471" i="7"/>
  <c r="N471" i="7"/>
  <c r="M471" i="7"/>
  <c r="L471" i="7"/>
  <c r="K471" i="7"/>
  <c r="J471" i="7"/>
  <c r="I471" i="7"/>
  <c r="H471" i="7"/>
  <c r="G471" i="7"/>
  <c r="F471" i="7"/>
  <c r="E471" i="7"/>
  <c r="D471" i="7"/>
  <c r="C471" i="7"/>
  <c r="B471" i="7"/>
  <c r="A471" i="7"/>
  <c r="BF470" i="7"/>
  <c r="BE470" i="7"/>
  <c r="BD470" i="7"/>
  <c r="BC470" i="7"/>
  <c r="BB470" i="7"/>
  <c r="BA470" i="7"/>
  <c r="AZ470" i="7"/>
  <c r="AY470" i="7"/>
  <c r="AX470" i="7"/>
  <c r="AW470" i="7"/>
  <c r="AV470" i="7"/>
  <c r="AU470" i="7"/>
  <c r="AT470" i="7"/>
  <c r="AS470" i="7"/>
  <c r="AR470" i="7"/>
  <c r="AQ470" i="7"/>
  <c r="AP470" i="7"/>
  <c r="AO470" i="7"/>
  <c r="AN470" i="7"/>
  <c r="AM470" i="7"/>
  <c r="AL470" i="7"/>
  <c r="AK470" i="7"/>
  <c r="AJ470" i="7"/>
  <c r="AI470" i="7"/>
  <c r="AH470" i="7"/>
  <c r="AG470" i="7"/>
  <c r="AF470" i="7"/>
  <c r="AE470" i="7"/>
  <c r="AD470" i="7"/>
  <c r="AC470" i="7"/>
  <c r="AB470" i="7"/>
  <c r="AA470" i="7"/>
  <c r="Z470" i="7"/>
  <c r="Y470" i="7"/>
  <c r="X470" i="7"/>
  <c r="W470" i="7"/>
  <c r="V470" i="7"/>
  <c r="U470" i="7"/>
  <c r="T470" i="7"/>
  <c r="S470" i="7"/>
  <c r="R470" i="7"/>
  <c r="Q470" i="7"/>
  <c r="P470" i="7"/>
  <c r="O470" i="7"/>
  <c r="N470" i="7"/>
  <c r="M470" i="7"/>
  <c r="L470" i="7"/>
  <c r="K470" i="7"/>
  <c r="J470" i="7"/>
  <c r="I470" i="7"/>
  <c r="H470" i="7"/>
  <c r="G470" i="7"/>
  <c r="F470" i="7"/>
  <c r="E470" i="7"/>
  <c r="D470" i="7"/>
  <c r="C470" i="7"/>
  <c r="B470" i="7"/>
  <c r="A470" i="7"/>
  <c r="BF469" i="7"/>
  <c r="BE469" i="7"/>
  <c r="BD469" i="7"/>
  <c r="BC469" i="7"/>
  <c r="BB469" i="7"/>
  <c r="BA469" i="7"/>
  <c r="AZ469" i="7"/>
  <c r="AY469" i="7"/>
  <c r="AX469" i="7"/>
  <c r="AW469" i="7"/>
  <c r="AV469" i="7"/>
  <c r="AU469" i="7"/>
  <c r="AT469" i="7"/>
  <c r="AS469" i="7"/>
  <c r="AR469" i="7"/>
  <c r="AQ469" i="7"/>
  <c r="AP469" i="7"/>
  <c r="AO469" i="7"/>
  <c r="AN469" i="7"/>
  <c r="AM469" i="7"/>
  <c r="AL469" i="7"/>
  <c r="AK469" i="7"/>
  <c r="AJ469" i="7"/>
  <c r="AI469" i="7"/>
  <c r="AH469" i="7"/>
  <c r="AG469" i="7"/>
  <c r="AF469" i="7"/>
  <c r="AE469" i="7"/>
  <c r="AD469" i="7"/>
  <c r="AC469" i="7"/>
  <c r="AB469" i="7"/>
  <c r="AA469" i="7"/>
  <c r="Z469" i="7"/>
  <c r="Y469" i="7"/>
  <c r="X469" i="7"/>
  <c r="W469" i="7"/>
  <c r="V469" i="7"/>
  <c r="U469" i="7"/>
  <c r="T469" i="7"/>
  <c r="S469" i="7"/>
  <c r="R469" i="7"/>
  <c r="Q469" i="7"/>
  <c r="P469" i="7"/>
  <c r="O469" i="7"/>
  <c r="N469" i="7"/>
  <c r="M469" i="7"/>
  <c r="L469" i="7"/>
  <c r="K469" i="7"/>
  <c r="J469" i="7"/>
  <c r="I469" i="7"/>
  <c r="H469" i="7"/>
  <c r="G469" i="7"/>
  <c r="F469" i="7"/>
  <c r="E469" i="7"/>
  <c r="D469" i="7"/>
  <c r="C469" i="7"/>
  <c r="B469" i="7"/>
  <c r="A469" i="7"/>
  <c r="BF468" i="7"/>
  <c r="BE468" i="7"/>
  <c r="BD468" i="7"/>
  <c r="BC468" i="7"/>
  <c r="BB468" i="7"/>
  <c r="BA468" i="7"/>
  <c r="AZ468" i="7"/>
  <c r="AY468" i="7"/>
  <c r="AX468" i="7"/>
  <c r="AW468" i="7"/>
  <c r="AV468" i="7"/>
  <c r="AU468" i="7"/>
  <c r="AT468" i="7"/>
  <c r="AS468" i="7"/>
  <c r="AR468" i="7"/>
  <c r="AQ468" i="7"/>
  <c r="AP468" i="7"/>
  <c r="AO468" i="7"/>
  <c r="AN468" i="7"/>
  <c r="AM468" i="7"/>
  <c r="AL468" i="7"/>
  <c r="AK468" i="7"/>
  <c r="AJ468" i="7"/>
  <c r="AI468" i="7"/>
  <c r="AH468" i="7"/>
  <c r="AG468" i="7"/>
  <c r="AF468" i="7"/>
  <c r="AE468" i="7"/>
  <c r="AD468" i="7"/>
  <c r="AC468" i="7"/>
  <c r="AB468" i="7"/>
  <c r="AA468" i="7"/>
  <c r="Z468" i="7"/>
  <c r="Y468" i="7"/>
  <c r="X468" i="7"/>
  <c r="W468" i="7"/>
  <c r="V468" i="7"/>
  <c r="U468" i="7"/>
  <c r="T468" i="7"/>
  <c r="S468" i="7"/>
  <c r="R468" i="7"/>
  <c r="Q468" i="7"/>
  <c r="P468" i="7"/>
  <c r="O468" i="7"/>
  <c r="N468" i="7"/>
  <c r="M468" i="7"/>
  <c r="L468" i="7"/>
  <c r="K468" i="7"/>
  <c r="J468" i="7"/>
  <c r="I468" i="7"/>
  <c r="H468" i="7"/>
  <c r="G468" i="7"/>
  <c r="F468" i="7"/>
  <c r="E468" i="7"/>
  <c r="D468" i="7"/>
  <c r="C468" i="7"/>
  <c r="B468" i="7"/>
  <c r="A468" i="7"/>
  <c r="BF467" i="7"/>
  <c r="BE467" i="7"/>
  <c r="BD467" i="7"/>
  <c r="BC467" i="7"/>
  <c r="BB467" i="7"/>
  <c r="BA467" i="7"/>
  <c r="AZ467" i="7"/>
  <c r="AY467" i="7"/>
  <c r="AX467" i="7"/>
  <c r="AW467" i="7"/>
  <c r="AV467" i="7"/>
  <c r="AU467" i="7"/>
  <c r="AT467" i="7"/>
  <c r="AS467" i="7"/>
  <c r="AR467" i="7"/>
  <c r="AQ467" i="7"/>
  <c r="AP467" i="7"/>
  <c r="AO467" i="7"/>
  <c r="AN467" i="7"/>
  <c r="AM467" i="7"/>
  <c r="AL467" i="7"/>
  <c r="AK467" i="7"/>
  <c r="AJ467" i="7"/>
  <c r="AI467" i="7"/>
  <c r="AH467" i="7"/>
  <c r="AG467" i="7"/>
  <c r="AF467" i="7"/>
  <c r="AE467" i="7"/>
  <c r="AD467" i="7"/>
  <c r="AC467" i="7"/>
  <c r="AB467" i="7"/>
  <c r="AA467" i="7"/>
  <c r="Z467" i="7"/>
  <c r="Y467" i="7"/>
  <c r="X467" i="7"/>
  <c r="W467" i="7"/>
  <c r="V467" i="7"/>
  <c r="U467" i="7"/>
  <c r="T467" i="7"/>
  <c r="S467" i="7"/>
  <c r="R467" i="7"/>
  <c r="Q467" i="7"/>
  <c r="P467" i="7"/>
  <c r="O467" i="7"/>
  <c r="N467" i="7"/>
  <c r="M467" i="7"/>
  <c r="L467" i="7"/>
  <c r="K467" i="7"/>
  <c r="J467" i="7"/>
  <c r="I467" i="7"/>
  <c r="H467" i="7"/>
  <c r="G467" i="7"/>
  <c r="F467" i="7"/>
  <c r="E467" i="7"/>
  <c r="D467" i="7"/>
  <c r="C467" i="7"/>
  <c r="B467" i="7"/>
  <c r="A467" i="7"/>
  <c r="BF466" i="7"/>
  <c r="BE466" i="7"/>
  <c r="BD466" i="7"/>
  <c r="BC466" i="7"/>
  <c r="BB466" i="7"/>
  <c r="BA466" i="7"/>
  <c r="AZ466" i="7"/>
  <c r="AY466" i="7"/>
  <c r="AX466" i="7"/>
  <c r="AW466" i="7"/>
  <c r="AV466" i="7"/>
  <c r="AU466" i="7"/>
  <c r="AT466" i="7"/>
  <c r="AS466" i="7"/>
  <c r="AR466" i="7"/>
  <c r="AQ466" i="7"/>
  <c r="AP466" i="7"/>
  <c r="AO466" i="7"/>
  <c r="AN466" i="7"/>
  <c r="AM466" i="7"/>
  <c r="AL466" i="7"/>
  <c r="AK466" i="7"/>
  <c r="AJ466" i="7"/>
  <c r="AI466" i="7"/>
  <c r="AH466" i="7"/>
  <c r="AG466" i="7"/>
  <c r="AF466" i="7"/>
  <c r="AE466" i="7"/>
  <c r="AD466" i="7"/>
  <c r="AC466" i="7"/>
  <c r="AB466" i="7"/>
  <c r="AA466" i="7"/>
  <c r="Z466" i="7"/>
  <c r="Y466" i="7"/>
  <c r="X466" i="7"/>
  <c r="W466" i="7"/>
  <c r="V466" i="7"/>
  <c r="U466" i="7"/>
  <c r="T466" i="7"/>
  <c r="S466" i="7"/>
  <c r="R466" i="7"/>
  <c r="Q466" i="7"/>
  <c r="P466" i="7"/>
  <c r="O466" i="7"/>
  <c r="N466" i="7"/>
  <c r="M466" i="7"/>
  <c r="L466" i="7"/>
  <c r="K466" i="7"/>
  <c r="J466" i="7"/>
  <c r="I466" i="7"/>
  <c r="H466" i="7"/>
  <c r="G466" i="7"/>
  <c r="F466" i="7"/>
  <c r="E466" i="7"/>
  <c r="D466" i="7"/>
  <c r="C466" i="7"/>
  <c r="B466" i="7"/>
  <c r="A466" i="7"/>
  <c r="BF465" i="7"/>
  <c r="BE465" i="7"/>
  <c r="BD465" i="7"/>
  <c r="BC465" i="7"/>
  <c r="BB465" i="7"/>
  <c r="BA465" i="7"/>
  <c r="AZ465" i="7"/>
  <c r="AY465" i="7"/>
  <c r="AX465" i="7"/>
  <c r="AW465" i="7"/>
  <c r="AV465" i="7"/>
  <c r="AU465" i="7"/>
  <c r="AT465" i="7"/>
  <c r="AS465" i="7"/>
  <c r="AR465" i="7"/>
  <c r="AQ465" i="7"/>
  <c r="AP465" i="7"/>
  <c r="AO465" i="7"/>
  <c r="AN465" i="7"/>
  <c r="AM465" i="7"/>
  <c r="AL465" i="7"/>
  <c r="AK465" i="7"/>
  <c r="AJ465" i="7"/>
  <c r="AI465" i="7"/>
  <c r="AH465" i="7"/>
  <c r="AG465" i="7"/>
  <c r="AF465" i="7"/>
  <c r="AE465" i="7"/>
  <c r="AD465" i="7"/>
  <c r="AC465" i="7"/>
  <c r="AB465" i="7"/>
  <c r="AA465" i="7"/>
  <c r="Z465" i="7"/>
  <c r="Y465" i="7"/>
  <c r="X465" i="7"/>
  <c r="W465" i="7"/>
  <c r="V465" i="7"/>
  <c r="U465" i="7"/>
  <c r="T465" i="7"/>
  <c r="S465" i="7"/>
  <c r="R465" i="7"/>
  <c r="Q465" i="7"/>
  <c r="P465" i="7"/>
  <c r="O465" i="7"/>
  <c r="N465" i="7"/>
  <c r="M465" i="7"/>
  <c r="L465" i="7"/>
  <c r="K465" i="7"/>
  <c r="J465" i="7"/>
  <c r="I465" i="7"/>
  <c r="H465" i="7"/>
  <c r="G465" i="7"/>
  <c r="F465" i="7"/>
  <c r="E465" i="7"/>
  <c r="D465" i="7"/>
  <c r="C465" i="7"/>
  <c r="B465" i="7"/>
  <c r="A465" i="7"/>
  <c r="BF464" i="7"/>
  <c r="BE464" i="7"/>
  <c r="BD464" i="7"/>
  <c r="BC464" i="7"/>
  <c r="BB464" i="7"/>
  <c r="BA464" i="7"/>
  <c r="AZ464" i="7"/>
  <c r="AY464" i="7"/>
  <c r="AX464" i="7"/>
  <c r="AW464" i="7"/>
  <c r="AV464" i="7"/>
  <c r="AU464" i="7"/>
  <c r="AT464" i="7"/>
  <c r="AS464" i="7"/>
  <c r="AR464" i="7"/>
  <c r="AQ464" i="7"/>
  <c r="AP464" i="7"/>
  <c r="AO464" i="7"/>
  <c r="AN464" i="7"/>
  <c r="AM464" i="7"/>
  <c r="AL464" i="7"/>
  <c r="AK464" i="7"/>
  <c r="AJ464" i="7"/>
  <c r="AI464" i="7"/>
  <c r="AH464" i="7"/>
  <c r="AG464" i="7"/>
  <c r="AF464" i="7"/>
  <c r="AE464" i="7"/>
  <c r="AD464" i="7"/>
  <c r="AC464" i="7"/>
  <c r="AB464" i="7"/>
  <c r="AA464" i="7"/>
  <c r="Z464" i="7"/>
  <c r="Y464" i="7"/>
  <c r="X464" i="7"/>
  <c r="W464" i="7"/>
  <c r="V464" i="7"/>
  <c r="U464" i="7"/>
  <c r="T464" i="7"/>
  <c r="S464" i="7"/>
  <c r="R464" i="7"/>
  <c r="Q464" i="7"/>
  <c r="P464" i="7"/>
  <c r="O464" i="7"/>
  <c r="N464" i="7"/>
  <c r="M464" i="7"/>
  <c r="L464" i="7"/>
  <c r="K464" i="7"/>
  <c r="J464" i="7"/>
  <c r="I464" i="7"/>
  <c r="H464" i="7"/>
  <c r="G464" i="7"/>
  <c r="F464" i="7"/>
  <c r="E464" i="7"/>
  <c r="D464" i="7"/>
  <c r="C464" i="7"/>
  <c r="B464" i="7"/>
  <c r="A464" i="7"/>
  <c r="BF463" i="7"/>
  <c r="BE463" i="7"/>
  <c r="BD463" i="7"/>
  <c r="BC463" i="7"/>
  <c r="BB463" i="7"/>
  <c r="BA463" i="7"/>
  <c r="AZ463" i="7"/>
  <c r="AY463" i="7"/>
  <c r="AX463" i="7"/>
  <c r="AW463" i="7"/>
  <c r="AV463" i="7"/>
  <c r="AU463" i="7"/>
  <c r="AT463" i="7"/>
  <c r="AS463" i="7"/>
  <c r="AR463" i="7"/>
  <c r="AQ463" i="7"/>
  <c r="AP463" i="7"/>
  <c r="AO463" i="7"/>
  <c r="AN463" i="7"/>
  <c r="AM463" i="7"/>
  <c r="AL463" i="7"/>
  <c r="AK463" i="7"/>
  <c r="AJ463" i="7"/>
  <c r="AI463" i="7"/>
  <c r="AH463" i="7"/>
  <c r="AG463" i="7"/>
  <c r="AF463" i="7"/>
  <c r="AE463" i="7"/>
  <c r="AD463" i="7"/>
  <c r="AC463" i="7"/>
  <c r="AB463" i="7"/>
  <c r="AA463" i="7"/>
  <c r="Z463" i="7"/>
  <c r="Y463" i="7"/>
  <c r="X463" i="7"/>
  <c r="W463" i="7"/>
  <c r="V463" i="7"/>
  <c r="U463" i="7"/>
  <c r="T463" i="7"/>
  <c r="S463" i="7"/>
  <c r="R463" i="7"/>
  <c r="Q463" i="7"/>
  <c r="P463" i="7"/>
  <c r="O463" i="7"/>
  <c r="N463" i="7"/>
  <c r="M463" i="7"/>
  <c r="L463" i="7"/>
  <c r="K463" i="7"/>
  <c r="J463" i="7"/>
  <c r="I463" i="7"/>
  <c r="H463" i="7"/>
  <c r="G463" i="7"/>
  <c r="F463" i="7"/>
  <c r="E463" i="7"/>
  <c r="D463" i="7"/>
  <c r="C463" i="7"/>
  <c r="B463" i="7"/>
  <c r="A463" i="7"/>
  <c r="BF462" i="7"/>
  <c r="BE462" i="7"/>
  <c r="BD462" i="7"/>
  <c r="BC462" i="7"/>
  <c r="BB462" i="7"/>
  <c r="BA462" i="7"/>
  <c r="AZ462" i="7"/>
  <c r="AY462" i="7"/>
  <c r="AX462" i="7"/>
  <c r="AW462" i="7"/>
  <c r="AV462" i="7"/>
  <c r="AU462" i="7"/>
  <c r="AT462" i="7"/>
  <c r="AS462" i="7"/>
  <c r="AR462" i="7"/>
  <c r="AQ462" i="7"/>
  <c r="AP462" i="7"/>
  <c r="AO462" i="7"/>
  <c r="AN462" i="7"/>
  <c r="AM462" i="7"/>
  <c r="AL462" i="7"/>
  <c r="AK462" i="7"/>
  <c r="AJ462" i="7"/>
  <c r="AI462" i="7"/>
  <c r="AH462" i="7"/>
  <c r="AG462" i="7"/>
  <c r="AF462" i="7"/>
  <c r="AE462" i="7"/>
  <c r="AD462" i="7"/>
  <c r="AC462" i="7"/>
  <c r="AB462" i="7"/>
  <c r="AA462" i="7"/>
  <c r="Z462" i="7"/>
  <c r="Y462" i="7"/>
  <c r="X462" i="7"/>
  <c r="W462" i="7"/>
  <c r="V462" i="7"/>
  <c r="U462" i="7"/>
  <c r="T462" i="7"/>
  <c r="S462" i="7"/>
  <c r="R462" i="7"/>
  <c r="Q462" i="7"/>
  <c r="P462" i="7"/>
  <c r="O462" i="7"/>
  <c r="N462" i="7"/>
  <c r="M462" i="7"/>
  <c r="L462" i="7"/>
  <c r="K462" i="7"/>
  <c r="J462" i="7"/>
  <c r="I462" i="7"/>
  <c r="H462" i="7"/>
  <c r="G462" i="7"/>
  <c r="F462" i="7"/>
  <c r="E462" i="7"/>
  <c r="D462" i="7"/>
  <c r="C462" i="7"/>
  <c r="B462" i="7"/>
  <c r="A462" i="7"/>
  <c r="BF461" i="7"/>
  <c r="BE461" i="7"/>
  <c r="BD461" i="7"/>
  <c r="BC461" i="7"/>
  <c r="BB461" i="7"/>
  <c r="BA461" i="7"/>
  <c r="AZ461" i="7"/>
  <c r="AY461" i="7"/>
  <c r="AX461" i="7"/>
  <c r="AW461" i="7"/>
  <c r="AV461" i="7"/>
  <c r="AU461" i="7"/>
  <c r="AT461" i="7"/>
  <c r="AS461" i="7"/>
  <c r="AR461" i="7"/>
  <c r="AQ461" i="7"/>
  <c r="AP461" i="7"/>
  <c r="AO461" i="7"/>
  <c r="AN461" i="7"/>
  <c r="AM461" i="7"/>
  <c r="AL461" i="7"/>
  <c r="AK461" i="7"/>
  <c r="AJ461" i="7"/>
  <c r="AI461" i="7"/>
  <c r="AH461" i="7"/>
  <c r="AG461" i="7"/>
  <c r="AF461" i="7"/>
  <c r="AE461" i="7"/>
  <c r="AD461" i="7"/>
  <c r="AC461" i="7"/>
  <c r="AB461" i="7"/>
  <c r="AA461" i="7"/>
  <c r="Z461" i="7"/>
  <c r="Y461" i="7"/>
  <c r="X461" i="7"/>
  <c r="W461" i="7"/>
  <c r="V461" i="7"/>
  <c r="U461" i="7"/>
  <c r="T461" i="7"/>
  <c r="S461" i="7"/>
  <c r="R461" i="7"/>
  <c r="Q461" i="7"/>
  <c r="P461" i="7"/>
  <c r="O461" i="7"/>
  <c r="N461" i="7"/>
  <c r="M461" i="7"/>
  <c r="L461" i="7"/>
  <c r="K461" i="7"/>
  <c r="J461" i="7"/>
  <c r="I461" i="7"/>
  <c r="H461" i="7"/>
  <c r="G461" i="7"/>
  <c r="F461" i="7"/>
  <c r="E461" i="7"/>
  <c r="D461" i="7"/>
  <c r="C461" i="7"/>
  <c r="B461" i="7"/>
  <c r="A461" i="7"/>
  <c r="BF460" i="7"/>
  <c r="BE460" i="7"/>
  <c r="BD460" i="7"/>
  <c r="BC460" i="7"/>
  <c r="BB460" i="7"/>
  <c r="BA460" i="7"/>
  <c r="AZ460" i="7"/>
  <c r="AY460" i="7"/>
  <c r="AX460" i="7"/>
  <c r="AW460" i="7"/>
  <c r="AV460" i="7"/>
  <c r="AU460" i="7"/>
  <c r="AT460" i="7"/>
  <c r="AS460" i="7"/>
  <c r="AR460" i="7"/>
  <c r="AQ460" i="7"/>
  <c r="AP460" i="7"/>
  <c r="AO460" i="7"/>
  <c r="AN460" i="7"/>
  <c r="AM460" i="7"/>
  <c r="AL460" i="7"/>
  <c r="AK460" i="7"/>
  <c r="AJ460" i="7"/>
  <c r="AI460" i="7"/>
  <c r="AH460" i="7"/>
  <c r="AG460" i="7"/>
  <c r="AF460" i="7"/>
  <c r="AE460" i="7"/>
  <c r="AD460" i="7"/>
  <c r="AC460" i="7"/>
  <c r="AB460" i="7"/>
  <c r="AA460" i="7"/>
  <c r="Z460" i="7"/>
  <c r="Y460" i="7"/>
  <c r="X460" i="7"/>
  <c r="W460" i="7"/>
  <c r="V460" i="7"/>
  <c r="U460" i="7"/>
  <c r="T460" i="7"/>
  <c r="S460" i="7"/>
  <c r="R460" i="7"/>
  <c r="Q460" i="7"/>
  <c r="P460" i="7"/>
  <c r="O460" i="7"/>
  <c r="N460" i="7"/>
  <c r="M460" i="7"/>
  <c r="L460" i="7"/>
  <c r="K460" i="7"/>
  <c r="J460" i="7"/>
  <c r="I460" i="7"/>
  <c r="H460" i="7"/>
  <c r="G460" i="7"/>
  <c r="F460" i="7"/>
  <c r="E460" i="7"/>
  <c r="D460" i="7"/>
  <c r="C460" i="7"/>
  <c r="B460" i="7"/>
  <c r="A460" i="7"/>
  <c r="BF459" i="7"/>
  <c r="BE459" i="7"/>
  <c r="BD459" i="7"/>
  <c r="BC459" i="7"/>
  <c r="BB459" i="7"/>
  <c r="BA459" i="7"/>
  <c r="AZ459" i="7"/>
  <c r="AY459" i="7"/>
  <c r="AX459" i="7"/>
  <c r="AW459" i="7"/>
  <c r="AV459" i="7"/>
  <c r="AU459" i="7"/>
  <c r="AT459" i="7"/>
  <c r="AS459" i="7"/>
  <c r="AR459" i="7"/>
  <c r="AQ459" i="7"/>
  <c r="AP459" i="7"/>
  <c r="AO459" i="7"/>
  <c r="AN459" i="7"/>
  <c r="AM459" i="7"/>
  <c r="AL459" i="7"/>
  <c r="AK459" i="7"/>
  <c r="AJ459" i="7"/>
  <c r="AI459" i="7"/>
  <c r="AH459" i="7"/>
  <c r="AG459" i="7"/>
  <c r="AF459" i="7"/>
  <c r="AE459" i="7"/>
  <c r="AD459" i="7"/>
  <c r="AC459" i="7"/>
  <c r="AB459" i="7"/>
  <c r="AA459" i="7"/>
  <c r="Z459" i="7"/>
  <c r="Y459" i="7"/>
  <c r="X459" i="7"/>
  <c r="W459" i="7"/>
  <c r="V459" i="7"/>
  <c r="U459" i="7"/>
  <c r="T459" i="7"/>
  <c r="S459" i="7"/>
  <c r="R459" i="7"/>
  <c r="Q459" i="7"/>
  <c r="P459" i="7"/>
  <c r="O459" i="7"/>
  <c r="N459" i="7"/>
  <c r="M459" i="7"/>
  <c r="L459" i="7"/>
  <c r="K459" i="7"/>
  <c r="J459" i="7"/>
  <c r="I459" i="7"/>
  <c r="H459" i="7"/>
  <c r="G459" i="7"/>
  <c r="F459" i="7"/>
  <c r="E459" i="7"/>
  <c r="D459" i="7"/>
  <c r="C459" i="7"/>
  <c r="B459" i="7"/>
  <c r="A459" i="7"/>
  <c r="BF458" i="7"/>
  <c r="BE458" i="7"/>
  <c r="BD458" i="7"/>
  <c r="BC458" i="7"/>
  <c r="BB458" i="7"/>
  <c r="BA458" i="7"/>
  <c r="AZ458" i="7"/>
  <c r="AY458" i="7"/>
  <c r="AX458" i="7"/>
  <c r="AW458" i="7"/>
  <c r="AV458" i="7"/>
  <c r="AU458" i="7"/>
  <c r="AT458" i="7"/>
  <c r="AS458" i="7"/>
  <c r="AR458" i="7"/>
  <c r="AQ458" i="7"/>
  <c r="AP458" i="7"/>
  <c r="AO458" i="7"/>
  <c r="AN458" i="7"/>
  <c r="AM458" i="7"/>
  <c r="AL458" i="7"/>
  <c r="AK458" i="7"/>
  <c r="AJ458" i="7"/>
  <c r="AI458" i="7"/>
  <c r="AH458" i="7"/>
  <c r="AG458" i="7"/>
  <c r="AF458" i="7"/>
  <c r="AE458" i="7"/>
  <c r="AD458" i="7"/>
  <c r="AC458" i="7"/>
  <c r="AB458" i="7"/>
  <c r="AA458" i="7"/>
  <c r="Z458" i="7"/>
  <c r="Y458" i="7"/>
  <c r="X458" i="7"/>
  <c r="W458" i="7"/>
  <c r="V458" i="7"/>
  <c r="U458" i="7"/>
  <c r="T458" i="7"/>
  <c r="S458" i="7"/>
  <c r="R458" i="7"/>
  <c r="Q458" i="7"/>
  <c r="P458" i="7"/>
  <c r="O458" i="7"/>
  <c r="N458" i="7"/>
  <c r="M458" i="7"/>
  <c r="L458" i="7"/>
  <c r="K458" i="7"/>
  <c r="J458" i="7"/>
  <c r="I458" i="7"/>
  <c r="H458" i="7"/>
  <c r="G458" i="7"/>
  <c r="F458" i="7"/>
  <c r="E458" i="7"/>
  <c r="D458" i="7"/>
  <c r="C458" i="7"/>
  <c r="B458" i="7"/>
  <c r="A458" i="7"/>
  <c r="BF457" i="7"/>
  <c r="BE457" i="7"/>
  <c r="BD457" i="7"/>
  <c r="BC457" i="7"/>
  <c r="BB457" i="7"/>
  <c r="BA457" i="7"/>
  <c r="AZ457" i="7"/>
  <c r="AY457" i="7"/>
  <c r="AX457" i="7"/>
  <c r="AW457" i="7"/>
  <c r="AV457" i="7"/>
  <c r="AU457" i="7"/>
  <c r="AT457" i="7"/>
  <c r="AS457" i="7"/>
  <c r="AR457" i="7"/>
  <c r="AQ457" i="7"/>
  <c r="AP457" i="7"/>
  <c r="AO457" i="7"/>
  <c r="AN457" i="7"/>
  <c r="AM457" i="7"/>
  <c r="AL457" i="7"/>
  <c r="AK457" i="7"/>
  <c r="AJ457" i="7"/>
  <c r="AI457" i="7"/>
  <c r="AH457" i="7"/>
  <c r="AG457" i="7"/>
  <c r="AF457" i="7"/>
  <c r="AE457" i="7"/>
  <c r="AD457" i="7"/>
  <c r="AC457" i="7"/>
  <c r="AB457" i="7"/>
  <c r="AA457" i="7"/>
  <c r="Z457" i="7"/>
  <c r="Y457" i="7"/>
  <c r="X457" i="7"/>
  <c r="W457" i="7"/>
  <c r="V457" i="7"/>
  <c r="U457" i="7"/>
  <c r="T457" i="7"/>
  <c r="S457" i="7"/>
  <c r="R457" i="7"/>
  <c r="Q457" i="7"/>
  <c r="P457" i="7"/>
  <c r="O457" i="7"/>
  <c r="N457" i="7"/>
  <c r="M457" i="7"/>
  <c r="L457" i="7"/>
  <c r="K457" i="7"/>
  <c r="J457" i="7"/>
  <c r="I457" i="7"/>
  <c r="H457" i="7"/>
  <c r="G457" i="7"/>
  <c r="F457" i="7"/>
  <c r="E457" i="7"/>
  <c r="D457" i="7"/>
  <c r="C457" i="7"/>
  <c r="B457" i="7"/>
  <c r="A457" i="7"/>
  <c r="BF456" i="7"/>
  <c r="BE456" i="7"/>
  <c r="BD456" i="7"/>
  <c r="BC456" i="7"/>
  <c r="BB456" i="7"/>
  <c r="BA456" i="7"/>
  <c r="AZ456" i="7"/>
  <c r="AY456" i="7"/>
  <c r="AX456" i="7"/>
  <c r="AW456" i="7"/>
  <c r="AV456" i="7"/>
  <c r="AU456" i="7"/>
  <c r="AT456" i="7"/>
  <c r="AS456" i="7"/>
  <c r="AR456" i="7"/>
  <c r="AQ456" i="7"/>
  <c r="AP456" i="7"/>
  <c r="AO456" i="7"/>
  <c r="AN456" i="7"/>
  <c r="AM456" i="7"/>
  <c r="AL456" i="7"/>
  <c r="AK456" i="7"/>
  <c r="AJ456" i="7"/>
  <c r="AI456" i="7"/>
  <c r="AH456" i="7"/>
  <c r="AG456" i="7"/>
  <c r="AF456" i="7"/>
  <c r="AE456" i="7"/>
  <c r="AD456" i="7"/>
  <c r="AC456" i="7"/>
  <c r="AB456" i="7"/>
  <c r="AA456" i="7"/>
  <c r="Z456" i="7"/>
  <c r="Y456" i="7"/>
  <c r="X456" i="7"/>
  <c r="W456" i="7"/>
  <c r="V456" i="7"/>
  <c r="U456" i="7"/>
  <c r="T456" i="7"/>
  <c r="S456" i="7"/>
  <c r="R456" i="7"/>
  <c r="Q456" i="7"/>
  <c r="P456" i="7"/>
  <c r="O456" i="7"/>
  <c r="N456" i="7"/>
  <c r="M456" i="7"/>
  <c r="L456" i="7"/>
  <c r="K456" i="7"/>
  <c r="J456" i="7"/>
  <c r="I456" i="7"/>
  <c r="H456" i="7"/>
  <c r="G456" i="7"/>
  <c r="F456" i="7"/>
  <c r="E456" i="7"/>
  <c r="D456" i="7"/>
  <c r="C456" i="7"/>
  <c r="B456" i="7"/>
  <c r="A456" i="7"/>
  <c r="BF455" i="7"/>
  <c r="BE455" i="7"/>
  <c r="BD455" i="7"/>
  <c r="BC455" i="7"/>
  <c r="BB455" i="7"/>
  <c r="BA455" i="7"/>
  <c r="AZ455" i="7"/>
  <c r="AY455" i="7"/>
  <c r="AX455" i="7"/>
  <c r="AW455" i="7"/>
  <c r="AV455" i="7"/>
  <c r="AU455" i="7"/>
  <c r="AT455" i="7"/>
  <c r="AS455" i="7"/>
  <c r="AR455" i="7"/>
  <c r="AQ455" i="7"/>
  <c r="AP455" i="7"/>
  <c r="AO455" i="7"/>
  <c r="AN455" i="7"/>
  <c r="AM455" i="7"/>
  <c r="AL455" i="7"/>
  <c r="AK455" i="7"/>
  <c r="AJ455" i="7"/>
  <c r="AI455" i="7"/>
  <c r="AH455" i="7"/>
  <c r="AG455" i="7"/>
  <c r="AF455" i="7"/>
  <c r="AE455" i="7"/>
  <c r="AD455" i="7"/>
  <c r="AC455" i="7"/>
  <c r="AB455" i="7"/>
  <c r="AA455" i="7"/>
  <c r="Z455" i="7"/>
  <c r="Y455" i="7"/>
  <c r="X455" i="7"/>
  <c r="W455" i="7"/>
  <c r="V455" i="7"/>
  <c r="U455" i="7"/>
  <c r="T455" i="7"/>
  <c r="S455" i="7"/>
  <c r="R455" i="7"/>
  <c r="Q455" i="7"/>
  <c r="P455" i="7"/>
  <c r="O455" i="7"/>
  <c r="N455" i="7"/>
  <c r="M455" i="7"/>
  <c r="L455" i="7"/>
  <c r="K455" i="7"/>
  <c r="J455" i="7"/>
  <c r="I455" i="7"/>
  <c r="H455" i="7"/>
  <c r="G455" i="7"/>
  <c r="F455" i="7"/>
  <c r="E455" i="7"/>
  <c r="D455" i="7"/>
  <c r="C455" i="7"/>
  <c r="B455" i="7"/>
  <c r="A455" i="7"/>
  <c r="BF454" i="7"/>
  <c r="BE454" i="7"/>
  <c r="BD454" i="7"/>
  <c r="BC454" i="7"/>
  <c r="BB454" i="7"/>
  <c r="BA454" i="7"/>
  <c r="AZ454" i="7"/>
  <c r="AY454" i="7"/>
  <c r="AX454" i="7"/>
  <c r="AW454" i="7"/>
  <c r="AV454" i="7"/>
  <c r="AU454" i="7"/>
  <c r="AT454" i="7"/>
  <c r="AS454" i="7"/>
  <c r="AR454" i="7"/>
  <c r="AQ454" i="7"/>
  <c r="AP454" i="7"/>
  <c r="AO454" i="7"/>
  <c r="AN454" i="7"/>
  <c r="AM454" i="7"/>
  <c r="AL454" i="7"/>
  <c r="AK454" i="7"/>
  <c r="AJ454" i="7"/>
  <c r="AI454" i="7"/>
  <c r="AH454" i="7"/>
  <c r="AG454" i="7"/>
  <c r="AF454" i="7"/>
  <c r="AE454" i="7"/>
  <c r="AD454" i="7"/>
  <c r="AC454" i="7"/>
  <c r="AB454" i="7"/>
  <c r="AA454" i="7"/>
  <c r="Z454" i="7"/>
  <c r="Y454" i="7"/>
  <c r="X454" i="7"/>
  <c r="W454" i="7"/>
  <c r="V454" i="7"/>
  <c r="U454" i="7"/>
  <c r="T454" i="7"/>
  <c r="S454" i="7"/>
  <c r="R454" i="7"/>
  <c r="Q454" i="7"/>
  <c r="P454" i="7"/>
  <c r="O454" i="7"/>
  <c r="N454" i="7"/>
  <c r="M454" i="7"/>
  <c r="L454" i="7"/>
  <c r="K454" i="7"/>
  <c r="J454" i="7"/>
  <c r="I454" i="7"/>
  <c r="H454" i="7"/>
  <c r="G454" i="7"/>
  <c r="F454" i="7"/>
  <c r="E454" i="7"/>
  <c r="D454" i="7"/>
  <c r="C454" i="7"/>
  <c r="B454" i="7"/>
  <c r="A454" i="7"/>
  <c r="BF453" i="7"/>
  <c r="BE453" i="7"/>
  <c r="BD453" i="7"/>
  <c r="BC453" i="7"/>
  <c r="BB453" i="7"/>
  <c r="BA453" i="7"/>
  <c r="AZ453" i="7"/>
  <c r="AY453" i="7"/>
  <c r="AX453" i="7"/>
  <c r="AW453" i="7"/>
  <c r="AV453" i="7"/>
  <c r="AU453" i="7"/>
  <c r="AT453" i="7"/>
  <c r="AS453" i="7"/>
  <c r="AR453" i="7"/>
  <c r="AQ453" i="7"/>
  <c r="AP453" i="7"/>
  <c r="AO453" i="7"/>
  <c r="AN453" i="7"/>
  <c r="AM453" i="7"/>
  <c r="AL453" i="7"/>
  <c r="AK453" i="7"/>
  <c r="AJ453" i="7"/>
  <c r="AI453" i="7"/>
  <c r="AH453" i="7"/>
  <c r="AG453" i="7"/>
  <c r="AF453" i="7"/>
  <c r="AE453" i="7"/>
  <c r="AD453" i="7"/>
  <c r="AC453" i="7"/>
  <c r="AB453" i="7"/>
  <c r="AA453" i="7"/>
  <c r="Z453" i="7"/>
  <c r="Y453" i="7"/>
  <c r="X453" i="7"/>
  <c r="W453" i="7"/>
  <c r="V453" i="7"/>
  <c r="U453" i="7"/>
  <c r="T453" i="7"/>
  <c r="S453" i="7"/>
  <c r="R453" i="7"/>
  <c r="Q453" i="7"/>
  <c r="P453" i="7"/>
  <c r="O453" i="7"/>
  <c r="N453" i="7"/>
  <c r="M453" i="7"/>
  <c r="L453" i="7"/>
  <c r="K453" i="7"/>
  <c r="J453" i="7"/>
  <c r="I453" i="7"/>
  <c r="H453" i="7"/>
  <c r="G453" i="7"/>
  <c r="F453" i="7"/>
  <c r="E453" i="7"/>
  <c r="D453" i="7"/>
  <c r="C453" i="7"/>
  <c r="B453" i="7"/>
  <c r="A453" i="7"/>
  <c r="BF452" i="7"/>
  <c r="BE452" i="7"/>
  <c r="BD452" i="7"/>
  <c r="BC452" i="7"/>
  <c r="BB452" i="7"/>
  <c r="BA452" i="7"/>
  <c r="AZ452" i="7"/>
  <c r="AY452" i="7"/>
  <c r="AX452" i="7"/>
  <c r="AW452" i="7"/>
  <c r="AV452" i="7"/>
  <c r="AU452" i="7"/>
  <c r="AT452" i="7"/>
  <c r="AS452" i="7"/>
  <c r="AR452" i="7"/>
  <c r="AQ452" i="7"/>
  <c r="AP452" i="7"/>
  <c r="AO452" i="7"/>
  <c r="AN452" i="7"/>
  <c r="AM452" i="7"/>
  <c r="AL452" i="7"/>
  <c r="AK452" i="7"/>
  <c r="AJ452" i="7"/>
  <c r="AI452" i="7"/>
  <c r="AH452" i="7"/>
  <c r="AG452" i="7"/>
  <c r="AF452" i="7"/>
  <c r="AE452" i="7"/>
  <c r="AD452" i="7"/>
  <c r="AC452" i="7"/>
  <c r="AB452" i="7"/>
  <c r="AA452" i="7"/>
  <c r="Z452" i="7"/>
  <c r="Y452" i="7"/>
  <c r="X452" i="7"/>
  <c r="W452" i="7"/>
  <c r="V452" i="7"/>
  <c r="U452" i="7"/>
  <c r="T452" i="7"/>
  <c r="S452" i="7"/>
  <c r="R452" i="7"/>
  <c r="Q452" i="7"/>
  <c r="P452" i="7"/>
  <c r="O452" i="7"/>
  <c r="N452" i="7"/>
  <c r="M452" i="7"/>
  <c r="L452" i="7"/>
  <c r="K452" i="7"/>
  <c r="J452" i="7"/>
  <c r="I452" i="7"/>
  <c r="H452" i="7"/>
  <c r="G452" i="7"/>
  <c r="F452" i="7"/>
  <c r="E452" i="7"/>
  <c r="D452" i="7"/>
  <c r="C452" i="7"/>
  <c r="B452" i="7"/>
  <c r="A452" i="7"/>
  <c r="BF451" i="7"/>
  <c r="BE451" i="7"/>
  <c r="BD451" i="7"/>
  <c r="BC451" i="7"/>
  <c r="BB451" i="7"/>
  <c r="BA451" i="7"/>
  <c r="AZ451" i="7"/>
  <c r="AY451" i="7"/>
  <c r="AX451" i="7"/>
  <c r="AW451" i="7"/>
  <c r="AV451" i="7"/>
  <c r="AU451" i="7"/>
  <c r="AT451" i="7"/>
  <c r="AS451" i="7"/>
  <c r="AR451" i="7"/>
  <c r="AQ451" i="7"/>
  <c r="AP451" i="7"/>
  <c r="AO451" i="7"/>
  <c r="AN451" i="7"/>
  <c r="AM451" i="7"/>
  <c r="AL451" i="7"/>
  <c r="AK451" i="7"/>
  <c r="AJ451" i="7"/>
  <c r="AI451" i="7"/>
  <c r="AH451" i="7"/>
  <c r="AG451" i="7"/>
  <c r="AF451" i="7"/>
  <c r="AE451" i="7"/>
  <c r="AD451" i="7"/>
  <c r="AC451" i="7"/>
  <c r="AB451" i="7"/>
  <c r="AA451" i="7"/>
  <c r="Z451" i="7"/>
  <c r="Y451" i="7"/>
  <c r="X451" i="7"/>
  <c r="W451" i="7"/>
  <c r="V451" i="7"/>
  <c r="U451" i="7"/>
  <c r="T451" i="7"/>
  <c r="S451" i="7"/>
  <c r="R451" i="7"/>
  <c r="Q451" i="7"/>
  <c r="P451" i="7"/>
  <c r="O451" i="7"/>
  <c r="N451" i="7"/>
  <c r="M451" i="7"/>
  <c r="L451" i="7"/>
  <c r="K451" i="7"/>
  <c r="J451" i="7"/>
  <c r="I451" i="7"/>
  <c r="H451" i="7"/>
  <c r="G451" i="7"/>
  <c r="F451" i="7"/>
  <c r="E451" i="7"/>
  <c r="D451" i="7"/>
  <c r="C451" i="7"/>
  <c r="B451" i="7"/>
  <c r="A451" i="7"/>
  <c r="BF450" i="7"/>
  <c r="BE450" i="7"/>
  <c r="BD450" i="7"/>
  <c r="BC450" i="7"/>
  <c r="BB450" i="7"/>
  <c r="BA450" i="7"/>
  <c r="AZ450" i="7"/>
  <c r="AY450" i="7"/>
  <c r="AX450" i="7"/>
  <c r="AW450" i="7"/>
  <c r="AV450" i="7"/>
  <c r="AU450" i="7"/>
  <c r="AT450" i="7"/>
  <c r="AS450" i="7"/>
  <c r="AR450" i="7"/>
  <c r="AQ450" i="7"/>
  <c r="AP450" i="7"/>
  <c r="AO450" i="7"/>
  <c r="AN450" i="7"/>
  <c r="AM450" i="7"/>
  <c r="AL450" i="7"/>
  <c r="AK450" i="7"/>
  <c r="AJ450" i="7"/>
  <c r="AI450" i="7"/>
  <c r="AH450" i="7"/>
  <c r="AG450" i="7"/>
  <c r="AF450" i="7"/>
  <c r="AE450" i="7"/>
  <c r="AD450" i="7"/>
  <c r="AC450" i="7"/>
  <c r="AB450" i="7"/>
  <c r="AA450" i="7"/>
  <c r="Z450" i="7"/>
  <c r="Y450" i="7"/>
  <c r="X450" i="7"/>
  <c r="W450" i="7"/>
  <c r="V450" i="7"/>
  <c r="U450" i="7"/>
  <c r="T450" i="7"/>
  <c r="S450" i="7"/>
  <c r="R450" i="7"/>
  <c r="Q450" i="7"/>
  <c r="P450" i="7"/>
  <c r="O450" i="7"/>
  <c r="N450" i="7"/>
  <c r="M450" i="7"/>
  <c r="L450" i="7"/>
  <c r="K450" i="7"/>
  <c r="J450" i="7"/>
  <c r="I450" i="7"/>
  <c r="H450" i="7"/>
  <c r="G450" i="7"/>
  <c r="F450" i="7"/>
  <c r="E450" i="7"/>
  <c r="D450" i="7"/>
  <c r="C450" i="7"/>
  <c r="B450" i="7"/>
  <c r="A450" i="7"/>
  <c r="BF449" i="7"/>
  <c r="BE449" i="7"/>
  <c r="BD449" i="7"/>
  <c r="BC449" i="7"/>
  <c r="BB449" i="7"/>
  <c r="BA449" i="7"/>
  <c r="AZ449" i="7"/>
  <c r="AY449" i="7"/>
  <c r="AX449" i="7"/>
  <c r="AW449" i="7"/>
  <c r="AV449" i="7"/>
  <c r="AU449" i="7"/>
  <c r="AT449" i="7"/>
  <c r="AS449" i="7"/>
  <c r="AR449" i="7"/>
  <c r="AQ449" i="7"/>
  <c r="AP449" i="7"/>
  <c r="AO449" i="7"/>
  <c r="AN449" i="7"/>
  <c r="AM449" i="7"/>
  <c r="AL449" i="7"/>
  <c r="AK449" i="7"/>
  <c r="AJ449" i="7"/>
  <c r="AI449" i="7"/>
  <c r="AH449" i="7"/>
  <c r="AG449" i="7"/>
  <c r="AF449" i="7"/>
  <c r="AE449" i="7"/>
  <c r="AD449" i="7"/>
  <c r="AC449" i="7"/>
  <c r="AB449" i="7"/>
  <c r="AA449" i="7"/>
  <c r="Z449" i="7"/>
  <c r="Y449" i="7"/>
  <c r="X449" i="7"/>
  <c r="W449" i="7"/>
  <c r="V449" i="7"/>
  <c r="U449" i="7"/>
  <c r="T449" i="7"/>
  <c r="S449" i="7"/>
  <c r="R449" i="7"/>
  <c r="Q449" i="7"/>
  <c r="P449" i="7"/>
  <c r="O449" i="7"/>
  <c r="N449" i="7"/>
  <c r="M449" i="7"/>
  <c r="L449" i="7"/>
  <c r="K449" i="7"/>
  <c r="J449" i="7"/>
  <c r="I449" i="7"/>
  <c r="H449" i="7"/>
  <c r="G449" i="7"/>
  <c r="F449" i="7"/>
  <c r="E449" i="7"/>
  <c r="D449" i="7"/>
  <c r="C449" i="7"/>
  <c r="B449" i="7"/>
  <c r="A449" i="7"/>
  <c r="BF448" i="7"/>
  <c r="BE448" i="7"/>
  <c r="BD448" i="7"/>
  <c r="BC448" i="7"/>
  <c r="BB448" i="7"/>
  <c r="BA448" i="7"/>
  <c r="AZ448" i="7"/>
  <c r="AY448" i="7"/>
  <c r="AX448" i="7"/>
  <c r="AW448" i="7"/>
  <c r="AV448" i="7"/>
  <c r="AU448" i="7"/>
  <c r="AT448" i="7"/>
  <c r="AS448" i="7"/>
  <c r="AR448" i="7"/>
  <c r="AQ448" i="7"/>
  <c r="AP448" i="7"/>
  <c r="AO448" i="7"/>
  <c r="AN448" i="7"/>
  <c r="AM448" i="7"/>
  <c r="AL448" i="7"/>
  <c r="AK448" i="7"/>
  <c r="AJ448" i="7"/>
  <c r="AI448" i="7"/>
  <c r="AH448" i="7"/>
  <c r="AG448" i="7"/>
  <c r="AF448" i="7"/>
  <c r="AE448" i="7"/>
  <c r="AD448" i="7"/>
  <c r="AC448" i="7"/>
  <c r="AB448" i="7"/>
  <c r="AA448" i="7"/>
  <c r="Z448" i="7"/>
  <c r="Y448" i="7"/>
  <c r="X448" i="7"/>
  <c r="W448" i="7"/>
  <c r="V448" i="7"/>
  <c r="U448" i="7"/>
  <c r="T448" i="7"/>
  <c r="S448" i="7"/>
  <c r="R448" i="7"/>
  <c r="Q448" i="7"/>
  <c r="P448" i="7"/>
  <c r="O448" i="7"/>
  <c r="N448" i="7"/>
  <c r="M448" i="7"/>
  <c r="L448" i="7"/>
  <c r="K448" i="7"/>
  <c r="J448" i="7"/>
  <c r="I448" i="7"/>
  <c r="H448" i="7"/>
  <c r="G448" i="7"/>
  <c r="F448" i="7"/>
  <c r="E448" i="7"/>
  <c r="D448" i="7"/>
  <c r="C448" i="7"/>
  <c r="B448" i="7"/>
  <c r="A448" i="7"/>
  <c r="BF447" i="7"/>
  <c r="BE447" i="7"/>
  <c r="BD447" i="7"/>
  <c r="BC447" i="7"/>
  <c r="BB447" i="7"/>
  <c r="BA447" i="7"/>
  <c r="AZ447" i="7"/>
  <c r="AY447" i="7"/>
  <c r="AX447" i="7"/>
  <c r="AW447" i="7"/>
  <c r="AV447" i="7"/>
  <c r="AU447" i="7"/>
  <c r="AT447" i="7"/>
  <c r="AS447" i="7"/>
  <c r="AR447" i="7"/>
  <c r="AQ447" i="7"/>
  <c r="AP447" i="7"/>
  <c r="AO447" i="7"/>
  <c r="AN447" i="7"/>
  <c r="AM447" i="7"/>
  <c r="AL447" i="7"/>
  <c r="AK447" i="7"/>
  <c r="AJ447" i="7"/>
  <c r="AI447" i="7"/>
  <c r="AH447" i="7"/>
  <c r="AG447" i="7"/>
  <c r="AF447" i="7"/>
  <c r="AE447" i="7"/>
  <c r="AD447" i="7"/>
  <c r="AC447" i="7"/>
  <c r="AB447" i="7"/>
  <c r="AA447" i="7"/>
  <c r="Z447" i="7"/>
  <c r="Y447" i="7"/>
  <c r="X447" i="7"/>
  <c r="W447" i="7"/>
  <c r="V447" i="7"/>
  <c r="U447" i="7"/>
  <c r="T447" i="7"/>
  <c r="S447" i="7"/>
  <c r="R447" i="7"/>
  <c r="Q447" i="7"/>
  <c r="P447" i="7"/>
  <c r="O447" i="7"/>
  <c r="N447" i="7"/>
  <c r="M447" i="7"/>
  <c r="L447" i="7"/>
  <c r="K447" i="7"/>
  <c r="J447" i="7"/>
  <c r="I447" i="7"/>
  <c r="H447" i="7"/>
  <c r="G447" i="7"/>
  <c r="F447" i="7"/>
  <c r="E447" i="7"/>
  <c r="D447" i="7"/>
  <c r="C447" i="7"/>
  <c r="B447" i="7"/>
  <c r="A447" i="7"/>
  <c r="BF446" i="7"/>
  <c r="BE446" i="7"/>
  <c r="BD446" i="7"/>
  <c r="BC446" i="7"/>
  <c r="BB446" i="7"/>
  <c r="BA446" i="7"/>
  <c r="AZ446" i="7"/>
  <c r="AY446" i="7"/>
  <c r="AX446" i="7"/>
  <c r="AW446" i="7"/>
  <c r="AV446" i="7"/>
  <c r="AU446" i="7"/>
  <c r="AT446" i="7"/>
  <c r="AS446" i="7"/>
  <c r="AR446" i="7"/>
  <c r="AQ446" i="7"/>
  <c r="AP446" i="7"/>
  <c r="AO446" i="7"/>
  <c r="AN446" i="7"/>
  <c r="AM446" i="7"/>
  <c r="AL446" i="7"/>
  <c r="AK446" i="7"/>
  <c r="AJ446" i="7"/>
  <c r="AI446" i="7"/>
  <c r="AH446" i="7"/>
  <c r="AG446" i="7"/>
  <c r="AF446" i="7"/>
  <c r="AE446" i="7"/>
  <c r="AD446" i="7"/>
  <c r="AC446" i="7"/>
  <c r="AB446" i="7"/>
  <c r="AA446" i="7"/>
  <c r="Z446" i="7"/>
  <c r="Y446" i="7"/>
  <c r="X446" i="7"/>
  <c r="W446" i="7"/>
  <c r="V446" i="7"/>
  <c r="U446" i="7"/>
  <c r="T446" i="7"/>
  <c r="S446" i="7"/>
  <c r="R446" i="7"/>
  <c r="Q446" i="7"/>
  <c r="P446" i="7"/>
  <c r="O446" i="7"/>
  <c r="N446" i="7"/>
  <c r="M446" i="7"/>
  <c r="L446" i="7"/>
  <c r="K446" i="7"/>
  <c r="J446" i="7"/>
  <c r="I446" i="7"/>
  <c r="H446" i="7"/>
  <c r="G446" i="7"/>
  <c r="F446" i="7"/>
  <c r="E446" i="7"/>
  <c r="D446" i="7"/>
  <c r="C446" i="7"/>
  <c r="B446" i="7"/>
  <c r="A446" i="7"/>
  <c r="BF445" i="7"/>
  <c r="BE445" i="7"/>
  <c r="BD445" i="7"/>
  <c r="BC445" i="7"/>
  <c r="BB445" i="7"/>
  <c r="BA445" i="7"/>
  <c r="AZ445" i="7"/>
  <c r="AY445" i="7"/>
  <c r="AX445" i="7"/>
  <c r="AW445" i="7"/>
  <c r="AV445" i="7"/>
  <c r="AU445" i="7"/>
  <c r="AT445" i="7"/>
  <c r="AS445" i="7"/>
  <c r="AR445" i="7"/>
  <c r="AQ445" i="7"/>
  <c r="AP445" i="7"/>
  <c r="AO445" i="7"/>
  <c r="AN445" i="7"/>
  <c r="AM445" i="7"/>
  <c r="AL445" i="7"/>
  <c r="AK445" i="7"/>
  <c r="AJ445" i="7"/>
  <c r="AI445" i="7"/>
  <c r="AH445" i="7"/>
  <c r="AG445" i="7"/>
  <c r="AF445" i="7"/>
  <c r="AE445" i="7"/>
  <c r="AD445" i="7"/>
  <c r="AC445" i="7"/>
  <c r="AB445" i="7"/>
  <c r="AA445" i="7"/>
  <c r="Z445" i="7"/>
  <c r="Y445" i="7"/>
  <c r="X445" i="7"/>
  <c r="W445" i="7"/>
  <c r="V445" i="7"/>
  <c r="U445" i="7"/>
  <c r="T445" i="7"/>
  <c r="S445" i="7"/>
  <c r="R445" i="7"/>
  <c r="Q445" i="7"/>
  <c r="P445" i="7"/>
  <c r="O445" i="7"/>
  <c r="N445" i="7"/>
  <c r="M445" i="7"/>
  <c r="L445" i="7"/>
  <c r="K445" i="7"/>
  <c r="J445" i="7"/>
  <c r="I445" i="7"/>
  <c r="H445" i="7"/>
  <c r="G445" i="7"/>
  <c r="F445" i="7"/>
  <c r="E445" i="7"/>
  <c r="D445" i="7"/>
  <c r="C445" i="7"/>
  <c r="B445" i="7"/>
  <c r="A445" i="7"/>
  <c r="BF444" i="7"/>
  <c r="BE444" i="7"/>
  <c r="BD444" i="7"/>
  <c r="BC444" i="7"/>
  <c r="BB444" i="7"/>
  <c r="BA444" i="7"/>
  <c r="AZ444" i="7"/>
  <c r="AY444" i="7"/>
  <c r="AX444" i="7"/>
  <c r="AW444" i="7"/>
  <c r="AV444" i="7"/>
  <c r="AU444" i="7"/>
  <c r="AT444" i="7"/>
  <c r="AS444" i="7"/>
  <c r="AR444" i="7"/>
  <c r="AQ444" i="7"/>
  <c r="AP444" i="7"/>
  <c r="AO444" i="7"/>
  <c r="AN444" i="7"/>
  <c r="AM444" i="7"/>
  <c r="AL444" i="7"/>
  <c r="AK444" i="7"/>
  <c r="AJ444" i="7"/>
  <c r="AI444" i="7"/>
  <c r="AH444" i="7"/>
  <c r="AG444" i="7"/>
  <c r="AF444" i="7"/>
  <c r="AE444" i="7"/>
  <c r="AD444" i="7"/>
  <c r="AC444" i="7"/>
  <c r="AB444" i="7"/>
  <c r="AA444" i="7"/>
  <c r="Z444" i="7"/>
  <c r="Y444" i="7"/>
  <c r="X444" i="7"/>
  <c r="W444" i="7"/>
  <c r="V444" i="7"/>
  <c r="U444" i="7"/>
  <c r="T444" i="7"/>
  <c r="S444" i="7"/>
  <c r="R444" i="7"/>
  <c r="Q444" i="7"/>
  <c r="P444" i="7"/>
  <c r="O444" i="7"/>
  <c r="N444" i="7"/>
  <c r="M444" i="7"/>
  <c r="L444" i="7"/>
  <c r="K444" i="7"/>
  <c r="J444" i="7"/>
  <c r="I444" i="7"/>
  <c r="H444" i="7"/>
  <c r="G444" i="7"/>
  <c r="F444" i="7"/>
  <c r="E444" i="7"/>
  <c r="D444" i="7"/>
  <c r="C444" i="7"/>
  <c r="B444" i="7"/>
  <c r="A444" i="7"/>
  <c r="BF443" i="7"/>
  <c r="BE443" i="7"/>
  <c r="BD443" i="7"/>
  <c r="BC443" i="7"/>
  <c r="BB443" i="7"/>
  <c r="BA443" i="7"/>
  <c r="AZ443" i="7"/>
  <c r="AY443" i="7"/>
  <c r="AX443" i="7"/>
  <c r="AW443" i="7"/>
  <c r="AV443" i="7"/>
  <c r="AU443" i="7"/>
  <c r="AT443" i="7"/>
  <c r="AS443" i="7"/>
  <c r="AR443" i="7"/>
  <c r="AQ443" i="7"/>
  <c r="AP443" i="7"/>
  <c r="AO443" i="7"/>
  <c r="AN443" i="7"/>
  <c r="AM443" i="7"/>
  <c r="AL443" i="7"/>
  <c r="AK443" i="7"/>
  <c r="AJ443" i="7"/>
  <c r="AI443" i="7"/>
  <c r="AH443" i="7"/>
  <c r="AG443" i="7"/>
  <c r="AF443" i="7"/>
  <c r="AE443" i="7"/>
  <c r="AD443" i="7"/>
  <c r="AC443" i="7"/>
  <c r="AB443" i="7"/>
  <c r="AA443" i="7"/>
  <c r="Z443" i="7"/>
  <c r="Y443" i="7"/>
  <c r="X443" i="7"/>
  <c r="W443" i="7"/>
  <c r="V443" i="7"/>
  <c r="U443" i="7"/>
  <c r="T443" i="7"/>
  <c r="S443" i="7"/>
  <c r="R443" i="7"/>
  <c r="Q443" i="7"/>
  <c r="P443" i="7"/>
  <c r="O443" i="7"/>
  <c r="N443" i="7"/>
  <c r="M443" i="7"/>
  <c r="L443" i="7"/>
  <c r="K443" i="7"/>
  <c r="J443" i="7"/>
  <c r="I443" i="7"/>
  <c r="H443" i="7"/>
  <c r="G443" i="7"/>
  <c r="F443" i="7"/>
  <c r="E443" i="7"/>
  <c r="D443" i="7"/>
  <c r="C443" i="7"/>
  <c r="B443" i="7"/>
  <c r="A443" i="7"/>
  <c r="BF442" i="7"/>
  <c r="BE442" i="7"/>
  <c r="BD442" i="7"/>
  <c r="BC442" i="7"/>
  <c r="BB442" i="7"/>
  <c r="BA442" i="7"/>
  <c r="AZ442" i="7"/>
  <c r="AY442" i="7"/>
  <c r="AX442" i="7"/>
  <c r="AW442" i="7"/>
  <c r="AV442" i="7"/>
  <c r="AU442" i="7"/>
  <c r="AT442" i="7"/>
  <c r="AS442" i="7"/>
  <c r="AR442" i="7"/>
  <c r="AQ442" i="7"/>
  <c r="AP442" i="7"/>
  <c r="AO442" i="7"/>
  <c r="AN442" i="7"/>
  <c r="AM442" i="7"/>
  <c r="AL442" i="7"/>
  <c r="AK442" i="7"/>
  <c r="AJ442" i="7"/>
  <c r="AI442" i="7"/>
  <c r="AH442" i="7"/>
  <c r="AG442" i="7"/>
  <c r="AF442" i="7"/>
  <c r="AE442" i="7"/>
  <c r="AD442" i="7"/>
  <c r="AC442" i="7"/>
  <c r="AB442" i="7"/>
  <c r="AA442" i="7"/>
  <c r="Z442" i="7"/>
  <c r="Y442" i="7"/>
  <c r="X442" i="7"/>
  <c r="W442" i="7"/>
  <c r="V442" i="7"/>
  <c r="U442" i="7"/>
  <c r="T442" i="7"/>
  <c r="S442" i="7"/>
  <c r="R442" i="7"/>
  <c r="Q442" i="7"/>
  <c r="P442" i="7"/>
  <c r="O442" i="7"/>
  <c r="N442" i="7"/>
  <c r="M442" i="7"/>
  <c r="L442" i="7"/>
  <c r="K442" i="7"/>
  <c r="J442" i="7"/>
  <c r="I442" i="7"/>
  <c r="H442" i="7"/>
  <c r="G442" i="7"/>
  <c r="F442" i="7"/>
  <c r="E442" i="7"/>
  <c r="D442" i="7"/>
  <c r="C442" i="7"/>
  <c r="B442" i="7"/>
  <c r="A442" i="7"/>
  <c r="BF441" i="7"/>
  <c r="BE441" i="7"/>
  <c r="BD441" i="7"/>
  <c r="BC441" i="7"/>
  <c r="BB441" i="7"/>
  <c r="BA441" i="7"/>
  <c r="AZ441" i="7"/>
  <c r="AY441" i="7"/>
  <c r="AX441" i="7"/>
  <c r="AW441" i="7"/>
  <c r="AV441" i="7"/>
  <c r="AU441" i="7"/>
  <c r="AT441" i="7"/>
  <c r="AS441" i="7"/>
  <c r="AR441" i="7"/>
  <c r="AQ441" i="7"/>
  <c r="AP441" i="7"/>
  <c r="AO441" i="7"/>
  <c r="AN441" i="7"/>
  <c r="AM441" i="7"/>
  <c r="AL441" i="7"/>
  <c r="AK441" i="7"/>
  <c r="AJ441" i="7"/>
  <c r="AI441" i="7"/>
  <c r="AH441" i="7"/>
  <c r="AG441" i="7"/>
  <c r="AF441" i="7"/>
  <c r="AE441" i="7"/>
  <c r="AD441" i="7"/>
  <c r="AC441" i="7"/>
  <c r="AB441" i="7"/>
  <c r="AA441" i="7"/>
  <c r="Z441" i="7"/>
  <c r="Y441" i="7"/>
  <c r="X441" i="7"/>
  <c r="W441" i="7"/>
  <c r="V441" i="7"/>
  <c r="U441" i="7"/>
  <c r="T441" i="7"/>
  <c r="S441" i="7"/>
  <c r="R441" i="7"/>
  <c r="Q441" i="7"/>
  <c r="P441" i="7"/>
  <c r="O441" i="7"/>
  <c r="N441" i="7"/>
  <c r="M441" i="7"/>
  <c r="L441" i="7"/>
  <c r="K441" i="7"/>
  <c r="J441" i="7"/>
  <c r="I441" i="7"/>
  <c r="H441" i="7"/>
  <c r="G441" i="7"/>
  <c r="F441" i="7"/>
  <c r="E441" i="7"/>
  <c r="D441" i="7"/>
  <c r="C441" i="7"/>
  <c r="B441" i="7"/>
  <c r="A441" i="7"/>
  <c r="BF440" i="7"/>
  <c r="BF479" i="7" s="1"/>
  <c r="BE440" i="7"/>
  <c r="BE479" i="7" s="1"/>
  <c r="BD440" i="7"/>
  <c r="BD479" i="7" s="1"/>
  <c r="BC440" i="7"/>
  <c r="BC479" i="7" s="1"/>
  <c r="BB440" i="7"/>
  <c r="BB479" i="7" s="1"/>
  <c r="BA440" i="7"/>
  <c r="BA479" i="7" s="1"/>
  <c r="AZ440" i="7"/>
  <c r="AZ479" i="7" s="1"/>
  <c r="AY440" i="7"/>
  <c r="AY479" i="7" s="1"/>
  <c r="AX440" i="7"/>
  <c r="AX479" i="7" s="1"/>
  <c r="AW440" i="7"/>
  <c r="AW479" i="7" s="1"/>
  <c r="AV440" i="7"/>
  <c r="AV479" i="7" s="1"/>
  <c r="AU440" i="7"/>
  <c r="AU479" i="7" s="1"/>
  <c r="AT440" i="7"/>
  <c r="AT479" i="7" s="1"/>
  <c r="AS440" i="7"/>
  <c r="AR440" i="7"/>
  <c r="AR479" i="7" s="1"/>
  <c r="AQ440" i="7"/>
  <c r="AQ479" i="7" s="1"/>
  <c r="AP440" i="7"/>
  <c r="AP479" i="7" s="1"/>
  <c r="AO440" i="7"/>
  <c r="AO479" i="7" s="1"/>
  <c r="AN440" i="7"/>
  <c r="AN479" i="7" s="1"/>
  <c r="AM440" i="7"/>
  <c r="AM479" i="7" s="1"/>
  <c r="AL440" i="7"/>
  <c r="AL479" i="7" s="1"/>
  <c r="AK440" i="7"/>
  <c r="AK479" i="7" s="1"/>
  <c r="AJ440" i="7"/>
  <c r="AJ479" i="7" s="1"/>
  <c r="AI440" i="7"/>
  <c r="AI479" i="7" s="1"/>
  <c r="AH440" i="7"/>
  <c r="AH479" i="7" s="1"/>
  <c r="AG440" i="7"/>
  <c r="AG479" i="7" s="1"/>
  <c r="AF440" i="7"/>
  <c r="AF479" i="7" s="1"/>
  <c r="AE440" i="7"/>
  <c r="AE479" i="7" s="1"/>
  <c r="AD440" i="7"/>
  <c r="AD479" i="7" s="1"/>
  <c r="AC440" i="7"/>
  <c r="AC479" i="7" s="1"/>
  <c r="AB440" i="7"/>
  <c r="AB479" i="7" s="1"/>
  <c r="AA440" i="7"/>
  <c r="AA479" i="7" s="1"/>
  <c r="Z440" i="7"/>
  <c r="Z479" i="7" s="1"/>
  <c r="Y440" i="7"/>
  <c r="Y479" i="7" s="1"/>
  <c r="X440" i="7"/>
  <c r="X479" i="7" s="1"/>
  <c r="W440" i="7"/>
  <c r="W479" i="7" s="1"/>
  <c r="V440" i="7"/>
  <c r="V479" i="7" s="1"/>
  <c r="U440" i="7"/>
  <c r="T440" i="7"/>
  <c r="T479" i="7" s="1"/>
  <c r="S440" i="7"/>
  <c r="S479" i="7" s="1"/>
  <c r="R440" i="7"/>
  <c r="R479" i="7" s="1"/>
  <c r="Q440" i="7"/>
  <c r="Q479" i="7" s="1"/>
  <c r="P440" i="7"/>
  <c r="P479" i="7" s="1"/>
  <c r="O440" i="7"/>
  <c r="O479" i="7" s="1"/>
  <c r="N440" i="7"/>
  <c r="N479" i="7" s="1"/>
  <c r="M440" i="7"/>
  <c r="M479" i="7" s="1"/>
  <c r="L440" i="7"/>
  <c r="L479" i="7" s="1"/>
  <c r="K440" i="7"/>
  <c r="K479" i="7" s="1"/>
  <c r="J440" i="7"/>
  <c r="J479" i="7" s="1"/>
  <c r="I440" i="7"/>
  <c r="I479" i="7" s="1"/>
  <c r="H440" i="7"/>
  <c r="H479" i="7" s="1"/>
  <c r="G440" i="7"/>
  <c r="G479" i="7" s="1"/>
  <c r="F440" i="7"/>
  <c r="F479" i="7" s="1"/>
  <c r="E440" i="7"/>
  <c r="E479" i="7" s="1"/>
  <c r="D440" i="7"/>
  <c r="D479" i="7" s="1"/>
  <c r="C440" i="7"/>
  <c r="C479" i="7" s="1"/>
  <c r="B440" i="7"/>
  <c r="B479" i="7" s="1"/>
  <c r="A440" i="7"/>
  <c r="A479" i="7" s="1"/>
  <c r="J81" i="12"/>
  <c r="I81" i="12"/>
  <c r="G81" i="12"/>
  <c r="N81" i="12" s="1"/>
  <c r="O81" i="12" s="1"/>
  <c r="J80" i="12"/>
  <c r="I80" i="12"/>
  <c r="G80" i="12"/>
  <c r="N80" i="12" s="1"/>
  <c r="O80" i="12" s="1"/>
  <c r="J79" i="12"/>
  <c r="I79" i="12"/>
  <c r="G79" i="12"/>
  <c r="N79" i="12" s="1"/>
  <c r="O79" i="12" s="1"/>
  <c r="J78" i="12"/>
  <c r="I78" i="12"/>
  <c r="G78" i="12"/>
  <c r="N78" i="12" s="1"/>
  <c r="O78" i="12" s="1"/>
  <c r="N77" i="12"/>
  <c r="O77" i="12" s="1"/>
  <c r="J77" i="12"/>
  <c r="L77" i="12" s="1"/>
  <c r="I77" i="12"/>
  <c r="G77" i="12"/>
  <c r="N76" i="12"/>
  <c r="O76" i="12" s="1"/>
  <c r="L76" i="12"/>
  <c r="J76" i="12"/>
  <c r="I76" i="12"/>
  <c r="G76" i="12"/>
  <c r="J75" i="12"/>
  <c r="I75" i="12"/>
  <c r="G75" i="12"/>
  <c r="N75" i="12" s="1"/>
  <c r="O75" i="12" s="1"/>
  <c r="J73" i="12"/>
  <c r="I73" i="12"/>
  <c r="G73" i="12"/>
  <c r="N73" i="12" s="1"/>
  <c r="O73" i="12" s="1"/>
  <c r="J72" i="12"/>
  <c r="I72" i="12"/>
  <c r="G72" i="12"/>
  <c r="N72" i="12" s="1"/>
  <c r="O72" i="12" s="1"/>
  <c r="N71" i="12"/>
  <c r="O71" i="12" s="1"/>
  <c r="J71" i="12"/>
  <c r="I71" i="12"/>
  <c r="G71" i="12"/>
  <c r="L71" i="12" s="1"/>
  <c r="O70" i="12"/>
  <c r="N70" i="12"/>
  <c r="J70" i="12"/>
  <c r="I70" i="12"/>
  <c r="G70" i="12"/>
  <c r="L70" i="12" s="1"/>
  <c r="J69" i="12"/>
  <c r="I69" i="12"/>
  <c r="G69" i="12"/>
  <c r="N69" i="12" s="1"/>
  <c r="O69" i="12" s="1"/>
  <c r="J68" i="12"/>
  <c r="I68" i="12"/>
  <c r="G68" i="12"/>
  <c r="N68" i="12" s="1"/>
  <c r="O68" i="12" s="1"/>
  <c r="J67" i="12"/>
  <c r="I67" i="12"/>
  <c r="G67" i="12"/>
  <c r="N67" i="12" s="1"/>
  <c r="O67" i="12" s="1"/>
  <c r="J65" i="12"/>
  <c r="I65" i="12"/>
  <c r="G65" i="12"/>
  <c r="N65" i="12" s="1"/>
  <c r="O65" i="12" s="1"/>
  <c r="J64" i="12"/>
  <c r="I64" i="12"/>
  <c r="G64" i="12"/>
  <c r="N64" i="12" s="1"/>
  <c r="O64" i="12" s="1"/>
  <c r="N63" i="12"/>
  <c r="O63" i="12" s="1"/>
  <c r="J63" i="12"/>
  <c r="L63" i="12" s="1"/>
  <c r="I63" i="12"/>
  <c r="G63" i="12"/>
  <c r="N62" i="12"/>
  <c r="O62" i="12" s="1"/>
  <c r="L62" i="12"/>
  <c r="J62" i="12"/>
  <c r="I62" i="12"/>
  <c r="G62" i="12"/>
  <c r="J61" i="12"/>
  <c r="I61" i="12"/>
  <c r="G61" i="12"/>
  <c r="N61" i="12" s="1"/>
  <c r="O61" i="12" s="1"/>
  <c r="J60" i="12"/>
  <c r="I60" i="12"/>
  <c r="G60" i="12"/>
  <c r="N60" i="12" s="1"/>
  <c r="O60" i="12" s="1"/>
  <c r="J58" i="12"/>
  <c r="I58" i="12"/>
  <c r="G58" i="12"/>
  <c r="N58" i="12" s="1"/>
  <c r="O58" i="12" s="1"/>
  <c r="N57" i="12"/>
  <c r="O57" i="12" s="1"/>
  <c r="J57" i="12"/>
  <c r="I57" i="12"/>
  <c r="G57" i="12"/>
  <c r="L57" i="12" s="1"/>
  <c r="O56" i="12"/>
  <c r="N56" i="12"/>
  <c r="J56" i="12"/>
  <c r="I56" i="12"/>
  <c r="G56" i="12"/>
  <c r="L56" i="12" s="1"/>
  <c r="J55" i="12"/>
  <c r="I55" i="12"/>
  <c r="G55" i="12"/>
  <c r="N55" i="12" s="1"/>
  <c r="O55" i="12" s="1"/>
  <c r="J54" i="12"/>
  <c r="I54" i="12"/>
  <c r="G54" i="12"/>
  <c r="N54" i="12" s="1"/>
  <c r="O54" i="12" s="1"/>
  <c r="J53" i="12"/>
  <c r="I53" i="12"/>
  <c r="G53" i="12"/>
  <c r="N53" i="12" s="1"/>
  <c r="O53" i="12" s="1"/>
  <c r="J51" i="12"/>
  <c r="I51" i="12"/>
  <c r="G51" i="12"/>
  <c r="N51" i="12" s="1"/>
  <c r="O51" i="12" s="1"/>
  <c r="J50" i="12"/>
  <c r="I50" i="12"/>
  <c r="G50" i="12"/>
  <c r="N50" i="12" s="1"/>
  <c r="O50" i="12" s="1"/>
  <c r="N49" i="12"/>
  <c r="O49" i="12" s="1"/>
  <c r="J49" i="12"/>
  <c r="L49" i="12" s="1"/>
  <c r="I49" i="12"/>
  <c r="G49" i="12"/>
  <c r="N48" i="12"/>
  <c r="O48" i="12" s="1"/>
  <c r="L48" i="12"/>
  <c r="J48" i="12"/>
  <c r="I48" i="12"/>
  <c r="G48" i="12"/>
  <c r="J47" i="12"/>
  <c r="I47" i="12"/>
  <c r="G47" i="12"/>
  <c r="N47" i="12" s="1"/>
  <c r="O47" i="12" s="1"/>
  <c r="J46" i="12"/>
  <c r="I46" i="12"/>
  <c r="G46" i="12"/>
  <c r="N46" i="12" s="1"/>
  <c r="O46" i="12" s="1"/>
  <c r="J45" i="12"/>
  <c r="I45" i="12"/>
  <c r="G45" i="12"/>
  <c r="N45" i="12" s="1"/>
  <c r="O45" i="12" s="1"/>
  <c r="P44" i="12"/>
  <c r="N44" i="12"/>
  <c r="O44" i="12" s="1"/>
  <c r="L44" i="12"/>
  <c r="J44" i="12"/>
  <c r="I44" i="12"/>
  <c r="G44" i="12"/>
  <c r="O43" i="12"/>
  <c r="N43" i="12"/>
  <c r="J43" i="12"/>
  <c r="I43" i="12"/>
  <c r="G43" i="12"/>
  <c r="L43" i="12" s="1"/>
  <c r="J42" i="12"/>
  <c r="I42" i="12"/>
  <c r="G42" i="12"/>
  <c r="N42" i="12" s="1"/>
  <c r="O42" i="12" s="1"/>
  <c r="J41" i="12"/>
  <c r="I41" i="12"/>
  <c r="G41" i="12"/>
  <c r="N41" i="12" s="1"/>
  <c r="O41" i="12" s="1"/>
  <c r="J39" i="12"/>
  <c r="I39" i="12"/>
  <c r="G39" i="12"/>
  <c r="N39" i="12" s="1"/>
  <c r="O39" i="12" s="1"/>
  <c r="J38" i="12"/>
  <c r="I38" i="12"/>
  <c r="G38" i="12"/>
  <c r="N38" i="12" s="1"/>
  <c r="O38" i="12" s="1"/>
  <c r="J37" i="12"/>
  <c r="I37" i="12"/>
  <c r="G37" i="12"/>
  <c r="N37" i="12" s="1"/>
  <c r="O37" i="12" s="1"/>
  <c r="N36" i="12"/>
  <c r="O36" i="12" s="1"/>
  <c r="J36" i="12"/>
  <c r="L36" i="12" s="1"/>
  <c r="I36" i="12"/>
  <c r="G36" i="12"/>
  <c r="N35" i="12"/>
  <c r="O35" i="12" s="1"/>
  <c r="L35" i="12"/>
  <c r="J35" i="12"/>
  <c r="I35" i="12"/>
  <c r="G35" i="12"/>
  <c r="J34" i="12"/>
  <c r="I34" i="12"/>
  <c r="G34" i="12"/>
  <c r="N34" i="12" s="1"/>
  <c r="O34" i="12" s="1"/>
  <c r="J33" i="12"/>
  <c r="I33" i="12"/>
  <c r="G33" i="12"/>
  <c r="N33" i="12" s="1"/>
  <c r="O33" i="12" s="1"/>
  <c r="J32" i="12"/>
  <c r="I32" i="12"/>
  <c r="G32" i="12"/>
  <c r="N32" i="12" s="1"/>
  <c r="O32" i="12" s="1"/>
  <c r="P31" i="12"/>
  <c r="N31" i="12"/>
  <c r="O31" i="12" s="1"/>
  <c r="L31" i="12"/>
  <c r="J31" i="12"/>
  <c r="I31" i="12"/>
  <c r="G31" i="12"/>
  <c r="O29" i="12"/>
  <c r="N29" i="12"/>
  <c r="J29" i="12"/>
  <c r="I29" i="12"/>
  <c r="G29" i="12"/>
  <c r="L29" i="12" s="1"/>
  <c r="J28" i="12"/>
  <c r="I28" i="12"/>
  <c r="G28" i="12"/>
  <c r="N28" i="12" s="1"/>
  <c r="O28" i="12" s="1"/>
  <c r="J27" i="12"/>
  <c r="I27" i="12"/>
  <c r="G27" i="12"/>
  <c r="N27" i="12" s="1"/>
  <c r="O27" i="12" s="1"/>
  <c r="J26" i="12"/>
  <c r="I26" i="12"/>
  <c r="G26" i="12"/>
  <c r="N26" i="12" s="1"/>
  <c r="O26" i="12" s="1"/>
  <c r="J25" i="12"/>
  <c r="I25" i="12"/>
  <c r="G25" i="12"/>
  <c r="N25" i="12" s="1"/>
  <c r="O25" i="12" s="1"/>
  <c r="J24" i="12"/>
  <c r="I24" i="12"/>
  <c r="G24" i="12"/>
  <c r="N24" i="12" s="1"/>
  <c r="O24" i="12" s="1"/>
  <c r="N23" i="12"/>
  <c r="O23" i="12" s="1"/>
  <c r="J23" i="12"/>
  <c r="L23" i="12" s="1"/>
  <c r="I23" i="12"/>
  <c r="G23" i="12"/>
  <c r="N22" i="12"/>
  <c r="O22" i="12" s="1"/>
  <c r="L22" i="12"/>
  <c r="J22" i="12"/>
  <c r="I22" i="12"/>
  <c r="G22" i="12"/>
  <c r="J21" i="12"/>
  <c r="I21" i="12"/>
  <c r="G21" i="12"/>
  <c r="N21" i="12" s="1"/>
  <c r="O21" i="12" s="1"/>
  <c r="J20" i="12"/>
  <c r="I20" i="12"/>
  <c r="G20" i="12"/>
  <c r="N20" i="12" s="1"/>
  <c r="O20" i="12" s="1"/>
  <c r="J19" i="12"/>
  <c r="I19" i="12"/>
  <c r="G19" i="12"/>
  <c r="N19" i="12" s="1"/>
  <c r="O19" i="12" s="1"/>
  <c r="P18" i="12"/>
  <c r="N18" i="12"/>
  <c r="O18" i="12" s="1"/>
  <c r="L18" i="12"/>
  <c r="J18" i="12"/>
  <c r="I18" i="12"/>
  <c r="G18" i="12"/>
  <c r="O17" i="12"/>
  <c r="N17" i="12"/>
  <c r="J17" i="12"/>
  <c r="I17" i="12"/>
  <c r="G17" i="12"/>
  <c r="L17" i="12" s="1"/>
  <c r="J15" i="12"/>
  <c r="I15" i="12"/>
  <c r="G15" i="12"/>
  <c r="N15" i="12" s="1"/>
  <c r="O15" i="12" s="1"/>
  <c r="J14" i="12"/>
  <c r="I14" i="12"/>
  <c r="G14" i="12"/>
  <c r="N14" i="12" s="1"/>
  <c r="O14" i="12" s="1"/>
  <c r="J13" i="12"/>
  <c r="I13" i="12"/>
  <c r="G13" i="12"/>
  <c r="L13" i="12" s="1"/>
  <c r="J12" i="12"/>
  <c r="I12" i="12"/>
  <c r="G12" i="12"/>
  <c r="N12" i="12" s="1"/>
  <c r="O12" i="12" s="1"/>
  <c r="J11" i="12"/>
  <c r="I11" i="12"/>
  <c r="G11" i="12"/>
  <c r="N11" i="12" s="1"/>
  <c r="O11" i="12" s="1"/>
  <c r="N10" i="12"/>
  <c r="O10" i="12" s="1"/>
  <c r="J10" i="12"/>
  <c r="L10" i="12" s="1"/>
  <c r="I10" i="12"/>
  <c r="G10" i="12"/>
  <c r="N9" i="12"/>
  <c r="O9" i="12" s="1"/>
  <c r="L9" i="12"/>
  <c r="J9" i="12"/>
  <c r="I9" i="12"/>
  <c r="G9" i="12"/>
  <c r="J8" i="12"/>
  <c r="I8" i="12"/>
  <c r="G8" i="12"/>
  <c r="N8" i="12" s="1"/>
  <c r="O8" i="12" s="1"/>
  <c r="J7" i="12"/>
  <c r="I7" i="12"/>
  <c r="G7" i="12"/>
  <c r="N7" i="12" s="1"/>
  <c r="O7" i="12" s="1"/>
  <c r="J6" i="12"/>
  <c r="I6" i="12"/>
  <c r="G6" i="12"/>
  <c r="N6" i="12" s="1"/>
  <c r="O6" i="12" s="1"/>
  <c r="P5" i="12"/>
  <c r="N5" i="12"/>
  <c r="O5" i="12" s="1"/>
  <c r="L5" i="12"/>
  <c r="J5" i="12"/>
  <c r="I5" i="12"/>
  <c r="G5" i="12"/>
  <c r="N4" i="12"/>
  <c r="O4" i="12" s="1"/>
  <c r="J4" i="12"/>
  <c r="I4" i="12"/>
  <c r="G4" i="12"/>
  <c r="L4" i="12" s="1"/>
  <c r="J3" i="12"/>
  <c r="I3" i="12"/>
  <c r="G3" i="12"/>
  <c r="N3" i="12" s="1"/>
  <c r="O3" i="12" s="1"/>
  <c r="D326" i="7"/>
  <c r="D327" i="7"/>
  <c r="D328" i="7"/>
  <c r="D329" i="7"/>
  <c r="D330" i="7"/>
  <c r="D331" i="7"/>
  <c r="D332" i="7"/>
  <c r="D333" i="7"/>
  <c r="D334" i="7"/>
  <c r="D335" i="7"/>
  <c r="D336" i="7"/>
  <c r="D337" i="7"/>
  <c r="D338" i="7"/>
  <c r="D339" i="7"/>
  <c r="D340" i="7"/>
  <c r="D341" i="7"/>
  <c r="D342" i="7"/>
  <c r="D343" i="7"/>
  <c r="D344" i="7"/>
  <c r="D345" i="7"/>
  <c r="D346" i="7"/>
  <c r="D347" i="7"/>
  <c r="D348" i="7"/>
  <c r="D349" i="7"/>
  <c r="D350" i="7"/>
  <c r="D351" i="7"/>
  <c r="D352" i="7"/>
  <c r="D353" i="7"/>
  <c r="D325" i="7"/>
  <c r="D271" i="7"/>
  <c r="D272" i="7"/>
  <c r="D273" i="7"/>
  <c r="D274" i="7"/>
  <c r="D275" i="7"/>
  <c r="D276" i="7"/>
  <c r="D277" i="7"/>
  <c r="D278" i="7"/>
  <c r="D279" i="7"/>
  <c r="D280" i="7"/>
  <c r="D281" i="7"/>
  <c r="D282" i="7"/>
  <c r="D283" i="7"/>
  <c r="D284" i="7"/>
  <c r="D285" i="7"/>
  <c r="D286" i="7"/>
  <c r="D287" i="7"/>
  <c r="D288" i="7"/>
  <c r="D289" i="7"/>
  <c r="D290" i="7"/>
  <c r="D291" i="7"/>
  <c r="D292" i="7"/>
  <c r="D293" i="7"/>
  <c r="D294" i="7"/>
  <c r="D295" i="7"/>
  <c r="D296" i="7"/>
  <c r="D297" i="7"/>
  <c r="D298" i="7"/>
  <c r="D299" i="7"/>
  <c r="D300" i="7"/>
  <c r="D301" i="7"/>
  <c r="D270" i="7"/>
  <c r="D145" i="7"/>
  <c r="D146" i="7"/>
  <c r="D147" i="7"/>
  <c r="D148" i="7"/>
  <c r="D149" i="7"/>
  <c r="D150" i="7"/>
  <c r="D151" i="7"/>
  <c r="D152" i="7"/>
  <c r="D153" i="7"/>
  <c r="D154" i="7"/>
  <c r="D155" i="7"/>
  <c r="D156" i="7"/>
  <c r="D157" i="7"/>
  <c r="D158" i="7"/>
  <c r="D159" i="7"/>
  <c r="D160" i="7"/>
  <c r="D161" i="7"/>
  <c r="D162" i="7"/>
  <c r="D163" i="7"/>
  <c r="D164" i="7"/>
  <c r="D165" i="7"/>
  <c r="D166" i="7"/>
  <c r="D167" i="7"/>
  <c r="D168" i="7"/>
  <c r="D144" i="7"/>
  <c r="D36" i="7"/>
  <c r="D37" i="7"/>
  <c r="D38" i="7"/>
  <c r="D39" i="7"/>
  <c r="D40" i="7"/>
  <c r="D41" i="7"/>
  <c r="D42" i="7"/>
  <c r="D43" i="7"/>
  <c r="D44" i="7"/>
  <c r="D45" i="7"/>
  <c r="D46" i="7"/>
  <c r="D47" i="7"/>
  <c r="D48" i="7"/>
  <c r="D49" i="7"/>
  <c r="D50" i="7"/>
  <c r="D51" i="7"/>
  <c r="D52" i="7"/>
  <c r="D53" i="7"/>
  <c r="D54" i="7"/>
  <c r="D55" i="7"/>
  <c r="D56" i="7"/>
  <c r="D57" i="7"/>
  <c r="D58" i="7"/>
  <c r="D59" i="7"/>
  <c r="D60" i="7"/>
  <c r="D61" i="7"/>
  <c r="D62" i="7"/>
  <c r="D63" i="7"/>
  <c r="D64" i="7"/>
  <c r="D65" i="7"/>
  <c r="D35" i="7"/>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3" i="5"/>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70" i="5"/>
  <c r="K71" i="5"/>
  <c r="K72" i="5"/>
  <c r="K73" i="5"/>
  <c r="K74" i="5"/>
  <c r="K75" i="5"/>
  <c r="K76" i="5"/>
  <c r="K77" i="5"/>
  <c r="K78" i="5"/>
  <c r="K79" i="5"/>
  <c r="K80" i="5"/>
  <c r="K81" i="5"/>
  <c r="K82" i="5"/>
  <c r="K83" i="5"/>
  <c r="K84" i="5"/>
  <c r="K85" i="5"/>
  <c r="K86" i="5"/>
  <c r="K87" i="5"/>
  <c r="K88" i="5"/>
  <c r="K89" i="5"/>
  <c r="K90" i="5"/>
  <c r="K91" i="5"/>
  <c r="K92" i="5"/>
  <c r="K93" i="5"/>
  <c r="K94" i="5"/>
  <c r="K95" i="5"/>
  <c r="K96" i="5"/>
  <c r="K97" i="5"/>
  <c r="K98" i="5"/>
  <c r="K99" i="5"/>
  <c r="K100" i="5"/>
  <c r="K101" i="5"/>
  <c r="K102" i="5"/>
  <c r="K103" i="5"/>
  <c r="K104" i="5"/>
  <c r="K105" i="5"/>
  <c r="K106" i="5"/>
  <c r="K107" i="5"/>
  <c r="K108" i="5"/>
  <c r="K109" i="5"/>
  <c r="K110" i="5"/>
  <c r="K111" i="5"/>
  <c r="K112" i="5"/>
  <c r="K113" i="5"/>
  <c r="K114" i="5"/>
  <c r="K115" i="5"/>
  <c r="K116" i="5"/>
  <c r="K117" i="5"/>
  <c r="K118" i="5"/>
  <c r="K119" i="5"/>
  <c r="K120" i="5"/>
  <c r="K121" i="5"/>
  <c r="K122" i="5"/>
  <c r="K123" i="5"/>
  <c r="K124" i="5"/>
  <c r="K125" i="5"/>
  <c r="K126" i="5"/>
  <c r="K127" i="5"/>
  <c r="K128" i="5"/>
  <c r="K129" i="5"/>
  <c r="K130" i="5"/>
  <c r="K131" i="5"/>
  <c r="K132" i="5"/>
  <c r="K133" i="5"/>
  <c r="K134" i="5"/>
  <c r="K135" i="5"/>
  <c r="K136" i="5"/>
  <c r="K137" i="5"/>
  <c r="K138" i="5"/>
  <c r="K139" i="5"/>
  <c r="K140" i="5"/>
  <c r="K141" i="5"/>
  <c r="K142" i="5"/>
  <c r="K143" i="5"/>
  <c r="K144" i="5"/>
  <c r="K145" i="5"/>
  <c r="K146" i="5"/>
  <c r="K147" i="5"/>
  <c r="K148" i="5"/>
  <c r="K149" i="5"/>
  <c r="K150" i="5"/>
  <c r="K151" i="5"/>
  <c r="K152" i="5"/>
  <c r="K153" i="5"/>
  <c r="K154" i="5"/>
  <c r="K155" i="5"/>
  <c r="K156" i="5"/>
  <c r="K157" i="5"/>
  <c r="K158" i="5"/>
  <c r="K159" i="5"/>
  <c r="K160" i="5"/>
  <c r="K161" i="5"/>
  <c r="K162" i="5"/>
  <c r="K163" i="5"/>
  <c r="K164" i="5"/>
  <c r="K165" i="5"/>
  <c r="K166" i="5"/>
  <c r="K167" i="5"/>
  <c r="K168" i="5"/>
  <c r="K169" i="5"/>
  <c r="K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3" i="5"/>
  <c r="P36" i="12" l="1"/>
  <c r="P23" i="12"/>
  <c r="P70" i="12"/>
  <c r="P10" i="12"/>
  <c r="P77" i="12"/>
  <c r="Q77" i="12" s="1"/>
  <c r="P17" i="12"/>
  <c r="R17" i="12" s="1"/>
  <c r="T17" i="12" s="1"/>
  <c r="Q17" i="12"/>
  <c r="P4" i="12"/>
  <c r="R4" i="12" s="1"/>
  <c r="T4" i="12" s="1"/>
  <c r="Q4" i="12"/>
  <c r="P71" i="12"/>
  <c r="Q71" i="12" s="1"/>
  <c r="P56" i="12"/>
  <c r="P63" i="12"/>
  <c r="R48" i="12"/>
  <c r="T48" i="12" s="1"/>
  <c r="P43" i="12"/>
  <c r="Q43" i="12"/>
  <c r="R43" i="12" s="1"/>
  <c r="T43" i="12" s="1"/>
  <c r="P57" i="12"/>
  <c r="P13" i="12"/>
  <c r="Q13" i="12" s="1"/>
  <c r="R35" i="12"/>
  <c r="T35" i="12" s="1"/>
  <c r="P49" i="12"/>
  <c r="P29" i="12"/>
  <c r="L3" i="12"/>
  <c r="Q5" i="12"/>
  <c r="R5" i="12" s="1"/>
  <c r="T5" i="12" s="1"/>
  <c r="L15" i="12"/>
  <c r="Q18" i="12"/>
  <c r="R18" i="12" s="1"/>
  <c r="T18" i="12" s="1"/>
  <c r="L28" i="12"/>
  <c r="Q31" i="12"/>
  <c r="R31" i="12" s="1"/>
  <c r="T31" i="12" s="1"/>
  <c r="L42" i="12"/>
  <c r="Q44" i="12"/>
  <c r="R44" i="12" s="1"/>
  <c r="T44" i="12" s="1"/>
  <c r="L55" i="12"/>
  <c r="L69" i="12"/>
  <c r="L34" i="12"/>
  <c r="L47" i="12"/>
  <c r="L61" i="12"/>
  <c r="L75" i="12"/>
  <c r="L8" i="12"/>
  <c r="L39" i="12"/>
  <c r="L53" i="12"/>
  <c r="L67" i="12"/>
  <c r="L80" i="12"/>
  <c r="L26" i="12"/>
  <c r="N13" i="12"/>
  <c r="O13" i="12" s="1"/>
  <c r="L6" i="12"/>
  <c r="L19" i="12"/>
  <c r="L32" i="12"/>
  <c r="L45" i="12"/>
  <c r="L58" i="12"/>
  <c r="L72" i="12"/>
  <c r="L11" i="12"/>
  <c r="L24" i="12"/>
  <c r="L37" i="12"/>
  <c r="L50" i="12"/>
  <c r="L64" i="12"/>
  <c r="L78" i="12"/>
  <c r="L21" i="12"/>
  <c r="L14" i="12"/>
  <c r="L27" i="12"/>
  <c r="L41" i="12"/>
  <c r="L54" i="12"/>
  <c r="L68" i="12"/>
  <c r="L81" i="12"/>
  <c r="P9" i="12"/>
  <c r="Q9" i="12" s="1"/>
  <c r="P22" i="12"/>
  <c r="P35" i="12"/>
  <c r="P48" i="12"/>
  <c r="P62" i="12"/>
  <c r="P76" i="12"/>
  <c r="L7" i="12"/>
  <c r="L20" i="12"/>
  <c r="L33" i="12"/>
  <c r="Q35" i="12"/>
  <c r="L46" i="12"/>
  <c r="Q48" i="12"/>
  <c r="L60" i="12"/>
  <c r="Q62" i="12"/>
  <c r="R62" i="12" s="1"/>
  <c r="T62" i="12" s="1"/>
  <c r="L73" i="12"/>
  <c r="Q76" i="12"/>
  <c r="R76" i="12" s="1"/>
  <c r="T76" i="12" s="1"/>
  <c r="L12" i="12"/>
  <c r="L25" i="12"/>
  <c r="L38" i="12"/>
  <c r="L51" i="12"/>
  <c r="L65" i="12"/>
  <c r="L79" i="12"/>
  <c r="R10" i="12" l="1"/>
  <c r="T10" i="12" s="1"/>
  <c r="R23" i="12"/>
  <c r="T23" i="12" s="1"/>
  <c r="R56" i="12"/>
  <c r="T56" i="12" s="1"/>
  <c r="P68" i="12"/>
  <c r="Q68" i="12" s="1"/>
  <c r="P67" i="12"/>
  <c r="Q67" i="12" s="1"/>
  <c r="P79" i="12"/>
  <c r="P12" i="12"/>
  <c r="R12" i="12" s="1"/>
  <c r="T12" i="12" s="1"/>
  <c r="Q12" i="12"/>
  <c r="Q81" i="12"/>
  <c r="R81" i="12" s="1"/>
  <c r="T81" i="12" s="1"/>
  <c r="P81" i="12"/>
  <c r="Q41" i="12"/>
  <c r="P41" i="12"/>
  <c r="R41" i="12" s="1"/>
  <c r="T41" i="12" s="1"/>
  <c r="Q23" i="12"/>
  <c r="P65" i="12"/>
  <c r="Q65" i="12"/>
  <c r="R65" i="12" s="1"/>
  <c r="T65" i="12" s="1"/>
  <c r="P38" i="12"/>
  <c r="Q38" i="12"/>
  <c r="R38" i="12" s="1"/>
  <c r="T38" i="12" s="1"/>
  <c r="P60" i="12"/>
  <c r="Q60" i="12" s="1"/>
  <c r="R60" i="12" s="1"/>
  <c r="T60" i="12" s="1"/>
  <c r="R71" i="12"/>
  <c r="T71" i="12" s="1"/>
  <c r="P73" i="12"/>
  <c r="Q73" i="12" s="1"/>
  <c r="R73" i="12" s="1"/>
  <c r="T73" i="12" s="1"/>
  <c r="P47" i="12"/>
  <c r="Q47" i="12" s="1"/>
  <c r="P78" i="12"/>
  <c r="Q78" i="12" s="1"/>
  <c r="Q10" i="12"/>
  <c r="Q8" i="12"/>
  <c r="P8" i="12"/>
  <c r="R8" i="12" s="1"/>
  <c r="T8" i="12" s="1"/>
  <c r="P75" i="12"/>
  <c r="Q75" i="12" s="1"/>
  <c r="P25" i="12"/>
  <c r="R25" i="12" s="1"/>
  <c r="T25" i="12" s="1"/>
  <c r="Q25" i="12"/>
  <c r="P69" i="12"/>
  <c r="P64" i="12"/>
  <c r="Q64" i="12" s="1"/>
  <c r="P15" i="12"/>
  <c r="Q15" i="12" s="1"/>
  <c r="P27" i="12"/>
  <c r="Q22" i="12"/>
  <c r="R22" i="12" s="1"/>
  <c r="T22" i="12" s="1"/>
  <c r="Q63" i="12"/>
  <c r="R63" i="12" s="1"/>
  <c r="T63" i="12" s="1"/>
  <c r="R77" i="12"/>
  <c r="T77" i="12" s="1"/>
  <c r="R13" i="12"/>
  <c r="Q70" i="12"/>
  <c r="R70" i="12" s="1"/>
  <c r="T70" i="12" s="1"/>
  <c r="R9" i="12"/>
  <c r="T9" i="12" s="1"/>
  <c r="P55" i="12"/>
  <c r="P37" i="12"/>
  <c r="Q37" i="12" s="1"/>
  <c r="P32" i="12"/>
  <c r="Q32" i="12" s="1"/>
  <c r="P54" i="12"/>
  <c r="Q54" i="12" s="1"/>
  <c r="P11" i="12"/>
  <c r="P20" i="12"/>
  <c r="Q20" i="12" s="1"/>
  <c r="R20" i="12" s="1"/>
  <c r="T20" i="12" s="1"/>
  <c r="Q53" i="12"/>
  <c r="R53" i="12" s="1"/>
  <c r="T53" i="12" s="1"/>
  <c r="P53" i="12"/>
  <c r="P51" i="12"/>
  <c r="Q51" i="12"/>
  <c r="R51" i="12" s="1"/>
  <c r="T51" i="12" s="1"/>
  <c r="P34" i="12"/>
  <c r="Q34" i="12" s="1"/>
  <c r="P24" i="12"/>
  <c r="Q24" i="12" s="1"/>
  <c r="P58" i="12"/>
  <c r="Q58" i="12" s="1"/>
  <c r="Q57" i="12"/>
  <c r="R57" i="12" s="1"/>
  <c r="T57" i="12" s="1"/>
  <c r="Q36" i="12"/>
  <c r="R36" i="12" s="1"/>
  <c r="T36" i="12" s="1"/>
  <c r="P39" i="12"/>
  <c r="P61" i="12"/>
  <c r="P50" i="12"/>
  <c r="Q50" i="12" s="1"/>
  <c r="P45" i="12"/>
  <c r="P7" i="12"/>
  <c r="Q7" i="12" s="1"/>
  <c r="R7" i="12" s="1"/>
  <c r="T7" i="12" s="1"/>
  <c r="T13" i="12"/>
  <c r="Q49" i="12"/>
  <c r="R49" i="12" s="1"/>
  <c r="T49" i="12" s="1"/>
  <c r="P14" i="12"/>
  <c r="Q14" i="12" s="1"/>
  <c r="P42" i="12"/>
  <c r="P28" i="12"/>
  <c r="Q28" i="12" s="1"/>
  <c r="R28" i="12" s="1"/>
  <c r="T28" i="12" s="1"/>
  <c r="P33" i="12"/>
  <c r="Q33" i="12" s="1"/>
  <c r="P6" i="12"/>
  <c r="Q6" i="12" s="1"/>
  <c r="R26" i="12"/>
  <c r="T26" i="12" s="1"/>
  <c r="Q26" i="12"/>
  <c r="P26" i="12"/>
  <c r="Q29" i="12"/>
  <c r="R29" i="12" s="1"/>
  <c r="T29" i="12" s="1"/>
  <c r="Q56" i="12"/>
  <c r="P21" i="12"/>
  <c r="P46" i="12"/>
  <c r="Q46" i="12" s="1"/>
  <c r="R46" i="12" s="1"/>
  <c r="T46" i="12" s="1"/>
  <c r="P72" i="12"/>
  <c r="Q72" i="12" s="1"/>
  <c r="P3" i="12"/>
  <c r="Q3" i="12" s="1"/>
  <c r="P19" i="12"/>
  <c r="Q19" i="12" s="1"/>
  <c r="P80" i="12"/>
  <c r="Q80" i="12" s="1"/>
  <c r="R79" i="12" l="1"/>
  <c r="T79" i="12" s="1"/>
  <c r="R69" i="12"/>
  <c r="T69" i="12" s="1"/>
  <c r="R50" i="12"/>
  <c r="T50" i="12" s="1"/>
  <c r="R78" i="12"/>
  <c r="T78" i="12" s="1"/>
  <c r="R80" i="12"/>
  <c r="T80" i="12" s="1"/>
  <c r="R15" i="12"/>
  <c r="T15" i="12" s="1"/>
  <c r="R19" i="12"/>
  <c r="T19" i="12" s="1"/>
  <c r="R54" i="12"/>
  <c r="T54" i="12" s="1"/>
  <c r="Q39" i="12"/>
  <c r="R39" i="12" s="1"/>
  <c r="T39" i="12" s="1"/>
  <c r="R47" i="12"/>
  <c r="T47" i="12" s="1"/>
  <c r="Q11" i="12"/>
  <c r="R11" i="12" s="1"/>
  <c r="T11" i="12" s="1"/>
  <c r="R72" i="12"/>
  <c r="T72" i="12" s="1"/>
  <c r="R58" i="12"/>
  <c r="T58" i="12" s="1"/>
  <c r="R14" i="12"/>
  <c r="T14" i="12" s="1"/>
  <c r="R37" i="12"/>
  <c r="T37" i="12" s="1"/>
  <c r="R33" i="12"/>
  <c r="T33" i="12" s="1"/>
  <c r="Q79" i="12"/>
  <c r="R67" i="12"/>
  <c r="T67" i="12" s="1"/>
  <c r="Q42" i="12"/>
  <c r="R42" i="12" s="1"/>
  <c r="T42" i="12" s="1"/>
  <c r="Q69" i="12"/>
  <c r="R32" i="12"/>
  <c r="T32" i="12" s="1"/>
  <c r="R24" i="12"/>
  <c r="T24" i="12" s="1"/>
  <c r="Q55" i="12"/>
  <c r="R55" i="12" s="1"/>
  <c r="T55" i="12" s="1"/>
  <c r="Q27" i="12"/>
  <c r="R27" i="12" s="1"/>
  <c r="T27" i="12" s="1"/>
  <c r="R34" i="12"/>
  <c r="T34" i="12" s="1"/>
  <c r="R6" i="12"/>
  <c r="T6" i="12" s="1"/>
  <c r="R64" i="12"/>
  <c r="T64" i="12" s="1"/>
  <c r="R3" i="12"/>
  <c r="T3" i="12" s="1"/>
  <c r="R68" i="12"/>
  <c r="T68" i="12" s="1"/>
  <c r="Q21" i="12"/>
  <c r="R21" i="12" s="1"/>
  <c r="T21" i="12" s="1"/>
  <c r="R75" i="12"/>
  <c r="T75" i="12" s="1"/>
  <c r="Q61" i="12"/>
  <c r="R61" i="12" s="1"/>
  <c r="T61" i="12" s="1"/>
  <c r="Q45" i="12"/>
  <c r="R45" i="12" s="1"/>
  <c r="T45" i="12" s="1"/>
</calcChain>
</file>

<file path=xl/sharedStrings.xml><?xml version="1.0" encoding="utf-8"?>
<sst xmlns="http://schemas.openxmlformats.org/spreadsheetml/2006/main" count="6263" uniqueCount="1849">
  <si>
    <t>Natural Science Elective</t>
  </si>
  <si>
    <t>Prefix</t>
  </si>
  <si>
    <t>Number</t>
  </si>
  <si>
    <t>Title</t>
  </si>
  <si>
    <t>Credits</t>
  </si>
  <si>
    <t>SGEH - General Education Core Humanities</t>
  </si>
  <si>
    <t>SGES - General Education Core Social Sciences</t>
  </si>
  <si>
    <t>ENC 1101</t>
  </si>
  <si>
    <t>Finite Mathematics</t>
  </si>
  <si>
    <t>Mathematics for Liberal Arts</t>
  </si>
  <si>
    <t>Music and Culture</t>
  </si>
  <si>
    <t>Conceptual Physics</t>
  </si>
  <si>
    <t>American National Government</t>
  </si>
  <si>
    <t>Theater and Culture</t>
  </si>
  <si>
    <t>Art and Culture</t>
  </si>
  <si>
    <t>Cellular Processes</t>
  </si>
  <si>
    <t>American History II</t>
  </si>
  <si>
    <t>CAP</t>
  </si>
  <si>
    <t>4034</t>
  </si>
  <si>
    <t>Computer Animation Fundamentals</t>
  </si>
  <si>
    <t>4063</t>
  </si>
  <si>
    <t>Web Application Design</t>
  </si>
  <si>
    <t>4103</t>
  </si>
  <si>
    <t>Mobile Biometrics</t>
  </si>
  <si>
    <t>4111</t>
  </si>
  <si>
    <t>Introduction to Augmented and Virtual Reality</t>
  </si>
  <si>
    <t>4136</t>
  </si>
  <si>
    <t>Malware Analysis and Reverse Engineering</t>
  </si>
  <si>
    <t>4160</t>
  </si>
  <si>
    <t>Brain-Computer Interfaces</t>
  </si>
  <si>
    <t>4401</t>
  </si>
  <si>
    <t>Image Processing Fundamentals</t>
  </si>
  <si>
    <t>4410</t>
  </si>
  <si>
    <t>Computer Vision</t>
  </si>
  <si>
    <t>4621</t>
  </si>
  <si>
    <t>Introduction to Artificial Intelligence</t>
  </si>
  <si>
    <t>4628</t>
  </si>
  <si>
    <t>Affective Computing</t>
  </si>
  <si>
    <t>4637</t>
  </si>
  <si>
    <t>Automated Reasoning and Theorem Proving</t>
  </si>
  <si>
    <t>4641</t>
  </si>
  <si>
    <t>Natural Language Processing</t>
  </si>
  <si>
    <t>4662</t>
  </si>
  <si>
    <t>Introduction to Robotics</t>
  </si>
  <si>
    <t>4744</t>
  </si>
  <si>
    <t>Interactive Data Visualization</t>
  </si>
  <si>
    <t>4773</t>
  </si>
  <si>
    <t>Social Media Mining</t>
  </si>
  <si>
    <t>CDA</t>
  </si>
  <si>
    <t>3103</t>
  </si>
  <si>
    <t>Computer Organization</t>
  </si>
  <si>
    <t>3201</t>
  </si>
  <si>
    <t>Computer Logic and Design</t>
  </si>
  <si>
    <t>3201L</t>
  </si>
  <si>
    <t xml:space="preserve">Computer Logic and Design Lab </t>
  </si>
  <si>
    <t>4203</t>
  </si>
  <si>
    <t>Computer System Design</t>
  </si>
  <si>
    <t>4203L</t>
  </si>
  <si>
    <t xml:space="preserve">Computer System Design Lab </t>
  </si>
  <si>
    <t>4205</t>
  </si>
  <si>
    <t>Computer Architecture</t>
  </si>
  <si>
    <t>4205L</t>
  </si>
  <si>
    <t xml:space="preserve">Computer Architecture Lab </t>
  </si>
  <si>
    <t>4213</t>
  </si>
  <si>
    <t>CMOS-VLSI Design</t>
  </si>
  <si>
    <t>4213L</t>
  </si>
  <si>
    <t xml:space="preserve">CMOS-VLSI Design Lab </t>
  </si>
  <si>
    <t>4253</t>
  </si>
  <si>
    <t>Field Programmable Gate Array System Design and Analysis</t>
  </si>
  <si>
    <t>4321</t>
  </si>
  <si>
    <t>Cryptographic Hardware and Embedded Systems</t>
  </si>
  <si>
    <t>4322</t>
  </si>
  <si>
    <t>Principles of Secure Hardware Design</t>
  </si>
  <si>
    <t>4323</t>
  </si>
  <si>
    <t>Practical Hardware Security</t>
  </si>
  <si>
    <t>Control of Mobile Robots</t>
  </si>
  <si>
    <t>CEN</t>
  </si>
  <si>
    <t>3722</t>
  </si>
  <si>
    <t>Human Computer Interfaces for Information Technology</t>
  </si>
  <si>
    <t>4020</t>
  </si>
  <si>
    <t>Software Engineering</t>
  </si>
  <si>
    <t>4072</t>
  </si>
  <si>
    <t>Software Testing</t>
  </si>
  <si>
    <t>4360</t>
  </si>
  <si>
    <t>Mobile Applications Development for IT</t>
  </si>
  <si>
    <t>CGS</t>
  </si>
  <si>
    <t>1540</t>
  </si>
  <si>
    <t>Introduction to Databases for Information Technology</t>
  </si>
  <si>
    <t>3303</t>
  </si>
  <si>
    <t>IT Concepts</t>
  </si>
  <si>
    <t>3853</t>
  </si>
  <si>
    <t>Web Systems for IT</t>
  </si>
  <si>
    <t>CHM</t>
  </si>
  <si>
    <t>2045</t>
  </si>
  <si>
    <t>General Chemistry I</t>
  </si>
  <si>
    <t>2045L</t>
  </si>
  <si>
    <t xml:space="preserve">General Chemistry I Laboratory </t>
  </si>
  <si>
    <t>CHS</t>
  </si>
  <si>
    <t>2440</t>
  </si>
  <si>
    <t>General Chemistry for Engineers</t>
  </si>
  <si>
    <t>2440L</t>
  </si>
  <si>
    <t xml:space="preserve">General Chemistry for Engineers Lab </t>
  </si>
  <si>
    <t>CIS</t>
  </si>
  <si>
    <t>3213</t>
  </si>
  <si>
    <t>Foundations of Cybersecurity</t>
  </si>
  <si>
    <t>3360</t>
  </si>
  <si>
    <t>Principles of Information Security</t>
  </si>
  <si>
    <t>3362</t>
  </si>
  <si>
    <t>Cryptography and Information Security</t>
  </si>
  <si>
    <t>3363</t>
  </si>
  <si>
    <t>Information Technology Systems Security</t>
  </si>
  <si>
    <t>3433</t>
  </si>
  <si>
    <t>System Integration and Architecture for IT</t>
  </si>
  <si>
    <t>4083</t>
  </si>
  <si>
    <t>Cloud Computing for IT</t>
  </si>
  <si>
    <t>4200</t>
  </si>
  <si>
    <t>Penetration Testing for IT</t>
  </si>
  <si>
    <t>Cyber Forensics and Investigations</t>
  </si>
  <si>
    <t>4212</t>
  </si>
  <si>
    <t>Privacy-Preserving and Trustworthy Cyber-Infrastructures</t>
  </si>
  <si>
    <t>4219</t>
  </si>
  <si>
    <t>Human Aspects of Cybersecurity</t>
  </si>
  <si>
    <t>4250</t>
  </si>
  <si>
    <t>Ethical Issues and Professional Conduct</t>
  </si>
  <si>
    <t>Ethics for Information Technology</t>
  </si>
  <si>
    <t>4345</t>
  </si>
  <si>
    <t>Big Data Storage and Analysis with Hadoop</t>
  </si>
  <si>
    <t>4361</t>
  </si>
  <si>
    <t>Information Assurance and Security Management for IT</t>
  </si>
  <si>
    <t>4364</t>
  </si>
  <si>
    <t>Cryptology and Information Security</t>
  </si>
  <si>
    <t>4368</t>
  </si>
  <si>
    <t>Database Security and Audits</t>
  </si>
  <si>
    <t>4622</t>
  </si>
  <si>
    <t>Hands-on Cybersecurity</t>
  </si>
  <si>
    <t>4623</t>
  </si>
  <si>
    <t>Practical Cybersecurity</t>
  </si>
  <si>
    <t>4900</t>
  </si>
  <si>
    <t>Independent Study in Computer Science</t>
  </si>
  <si>
    <t>1-5</t>
  </si>
  <si>
    <t>4910</t>
  </si>
  <si>
    <t>Computer Science and Engineering Project</t>
  </si>
  <si>
    <t>4915</t>
  </si>
  <si>
    <t>Supervised Research in Computer Science</t>
  </si>
  <si>
    <t>4930</t>
  </si>
  <si>
    <t>Special Topics in Computer Science I</t>
  </si>
  <si>
    <t>1-3</t>
  </si>
  <si>
    <t>4935</t>
  </si>
  <si>
    <t>Senior Project in Information Technology</t>
  </si>
  <si>
    <t>4940</t>
  </si>
  <si>
    <t>Industry Internship</t>
  </si>
  <si>
    <t>0-6</t>
  </si>
  <si>
    <t>4947</t>
  </si>
  <si>
    <t>Industry Internship for IT</t>
  </si>
  <si>
    <t>CNT</t>
  </si>
  <si>
    <t>4004</t>
  </si>
  <si>
    <t>Computer Networks I</t>
  </si>
  <si>
    <t>4104</t>
  </si>
  <si>
    <t>Computer Information Networks for Information Technology</t>
  </si>
  <si>
    <t>4104L</t>
  </si>
  <si>
    <t xml:space="preserve">Computer Information Networks Laboratory for Information Technology </t>
  </si>
  <si>
    <t>4403</t>
  </si>
  <si>
    <t>Network Security and Firewalls</t>
  </si>
  <si>
    <t>4411</t>
  </si>
  <si>
    <t>Computing and Network Security</t>
  </si>
  <si>
    <t>4419</t>
  </si>
  <si>
    <t>Secure Coding</t>
  </si>
  <si>
    <t>4603</t>
  </si>
  <si>
    <t>System Administration and Maintenance for Information Technology</t>
  </si>
  <si>
    <t>4716C</t>
  </si>
  <si>
    <t xml:space="preserve">Network Programming for IT </t>
  </si>
  <si>
    <t>4800</t>
  </si>
  <si>
    <t>Network Science</t>
  </si>
  <si>
    <t>COP</t>
  </si>
  <si>
    <t>2510</t>
  </si>
  <si>
    <t>Programming Concepts</t>
  </si>
  <si>
    <t>2512</t>
  </si>
  <si>
    <t>Programming Fundamentals for Information Technology</t>
  </si>
  <si>
    <t>2513</t>
  </si>
  <si>
    <t>Object Oriented Programming for Information Technology</t>
  </si>
  <si>
    <t>3353</t>
  </si>
  <si>
    <t>User-Level Introduction to Linux for IT</t>
  </si>
  <si>
    <t>3514</t>
  </si>
  <si>
    <t>Program Design</t>
  </si>
  <si>
    <t>3515</t>
  </si>
  <si>
    <t>Advanced Program Design for Information Technology</t>
  </si>
  <si>
    <t>Programming Languages</t>
  </si>
  <si>
    <t>4365</t>
  </si>
  <si>
    <t>Software System Development</t>
  </si>
  <si>
    <t>Adv Object-Oriented Programming for IT</t>
  </si>
  <si>
    <t>4520</t>
  </si>
  <si>
    <t>Computing in Massively Parallel Systems</t>
  </si>
  <si>
    <t>4530</t>
  </si>
  <si>
    <t>Data Structures</t>
  </si>
  <si>
    <t>4538</t>
  </si>
  <si>
    <t>Data Structures and Algorithms for Information Technology</t>
  </si>
  <si>
    <t>4564</t>
  </si>
  <si>
    <t>Application Maintenance &amp; Debugging for IT</t>
  </si>
  <si>
    <t>4600</t>
  </si>
  <si>
    <t>Operating Systems</t>
  </si>
  <si>
    <t>4620</t>
  </si>
  <si>
    <t>Compilers</t>
  </si>
  <si>
    <t>4656</t>
  </si>
  <si>
    <t>Software Development for Mobile Devices</t>
  </si>
  <si>
    <t>4703</t>
  </si>
  <si>
    <t>Advanced Database Systems for Information Technology</t>
  </si>
  <si>
    <t>4710</t>
  </si>
  <si>
    <t>Database Design</t>
  </si>
  <si>
    <t>4883</t>
  </si>
  <si>
    <t>Java Programming for Information Technology</t>
  </si>
  <si>
    <t>Independent Study in Information Technology</t>
  </si>
  <si>
    <t>4931</t>
  </si>
  <si>
    <t>Special Topics for Information Technology</t>
  </si>
  <si>
    <t>COT</t>
  </si>
  <si>
    <t>3100</t>
  </si>
  <si>
    <t>Introduction to Discrete Structures</t>
  </si>
  <si>
    <t>4210</t>
  </si>
  <si>
    <t>Automata Theory and Formal Languages</t>
  </si>
  <si>
    <t>4400</t>
  </si>
  <si>
    <t>Analysis of Algorithms</t>
  </si>
  <si>
    <t>4521</t>
  </si>
  <si>
    <t>Computational Geometry</t>
  </si>
  <si>
    <t>4601</t>
  </si>
  <si>
    <t>Quantum Computing and Quantum Algorithms</t>
  </si>
  <si>
    <t>CTS</t>
  </si>
  <si>
    <t>4337</t>
  </si>
  <si>
    <t>Linux Workstations System Administration for IT</t>
  </si>
  <si>
    <t>ECO</t>
  </si>
  <si>
    <t>2013</t>
  </si>
  <si>
    <t>Economic Principles (Macroeconomics)</t>
  </si>
  <si>
    <t>EDG</t>
  </si>
  <si>
    <t>3801</t>
  </si>
  <si>
    <t>Cybersecurity and the Everyday Citizen</t>
  </si>
  <si>
    <t>EEE</t>
  </si>
  <si>
    <t>3394</t>
  </si>
  <si>
    <t>Electrical Engineering Science I - Electronic Materials</t>
  </si>
  <si>
    <t>EGN</t>
  </si>
  <si>
    <t>3000</t>
  </si>
  <si>
    <t>Foundations of Engineering</t>
  </si>
  <si>
    <t>0-3</t>
  </si>
  <si>
    <t>3000L</t>
  </si>
  <si>
    <t xml:space="preserve">Foundations of Engineering Lab </t>
  </si>
  <si>
    <t>3373</t>
  </si>
  <si>
    <t>Electrical Systems I</t>
  </si>
  <si>
    <t>Modeling and Analysis of Engineering Systems</t>
  </si>
  <si>
    <t>3443</t>
  </si>
  <si>
    <t>Probability and Statistics for Engineers</t>
  </si>
  <si>
    <t>3615</t>
  </si>
  <si>
    <t>Engineering Economics with Social and Global Implications</t>
  </si>
  <si>
    <t>4450</t>
  </si>
  <si>
    <t>Introduction to Linear Systems</t>
  </si>
  <si>
    <t>ENC</t>
  </si>
  <si>
    <t>1101</t>
  </si>
  <si>
    <t>Composition I</t>
  </si>
  <si>
    <t>1102</t>
  </si>
  <si>
    <t>Composition II</t>
  </si>
  <si>
    <t>3246</t>
  </si>
  <si>
    <t>Communication for Engineers</t>
  </si>
  <si>
    <t>INR</t>
  </si>
  <si>
    <t>3033</t>
  </si>
  <si>
    <t>International Political Cultures</t>
  </si>
  <si>
    <t>ISM</t>
  </si>
  <si>
    <t>4041</t>
  </si>
  <si>
    <t>Global Cyber Ethics</t>
  </si>
  <si>
    <t>Information Security and IT Risk Management</t>
  </si>
  <si>
    <t>LIS</t>
  </si>
  <si>
    <t>4414</t>
  </si>
  <si>
    <t>Information Policy and Ethics</t>
  </si>
  <si>
    <t>4779</t>
  </si>
  <si>
    <t>Health Information Security</t>
  </si>
  <si>
    <t>MAC</t>
  </si>
  <si>
    <t>1147</t>
  </si>
  <si>
    <t>Precalculus Algebra and Trigonometry</t>
  </si>
  <si>
    <t>2281</t>
  </si>
  <si>
    <t>Engineering Calculus I</t>
  </si>
  <si>
    <t>2282</t>
  </si>
  <si>
    <t>Engineering Calculus II</t>
  </si>
  <si>
    <t>2283</t>
  </si>
  <si>
    <t>Engineering Calculus III</t>
  </si>
  <si>
    <t>2311</t>
  </si>
  <si>
    <t>Calculus I</t>
  </si>
  <si>
    <t>2312</t>
  </si>
  <si>
    <t>Calculus II</t>
  </si>
  <si>
    <t>2313</t>
  </si>
  <si>
    <t>Calculus III</t>
  </si>
  <si>
    <t>MAD</t>
  </si>
  <si>
    <t>2104</t>
  </si>
  <si>
    <t>Discrete Mathematics</t>
  </si>
  <si>
    <t>MAP</t>
  </si>
  <si>
    <t>2302</t>
  </si>
  <si>
    <t>Differential Equations</t>
  </si>
  <si>
    <t>PHY</t>
  </si>
  <si>
    <t>2020</t>
  </si>
  <si>
    <t>2048</t>
  </si>
  <si>
    <t>General Physics I - Calculus Based</t>
  </si>
  <si>
    <t>2048L</t>
  </si>
  <si>
    <t xml:space="preserve">General Physics I Laboratory </t>
  </si>
  <si>
    <t>2049</t>
  </si>
  <si>
    <t>General Physics II - Calculus Based</t>
  </si>
  <si>
    <t>2049L</t>
  </si>
  <si>
    <t xml:space="preserve">General Physics II Laboratory </t>
  </si>
  <si>
    <t>PSY</t>
  </si>
  <si>
    <t>2012</t>
  </si>
  <si>
    <t>Introduction to Psychological Science</t>
  </si>
  <si>
    <t>STA</t>
  </si>
  <si>
    <t>2023</t>
  </si>
  <si>
    <t>Introductory Statistics I</t>
  </si>
  <si>
    <t>ARH</t>
  </si>
  <si>
    <t>2000</t>
  </si>
  <si>
    <t>HUM</t>
  </si>
  <si>
    <t>1020</t>
  </si>
  <si>
    <t>Introduction to Humanities</t>
  </si>
  <si>
    <t>LIT</t>
  </si>
  <si>
    <t>Introduction to Literature</t>
  </si>
  <si>
    <t>MUL</t>
  </si>
  <si>
    <t>2010</t>
  </si>
  <si>
    <t>PHI</t>
  </si>
  <si>
    <t>Introduction to Philosophy</t>
  </si>
  <si>
    <t>THE</t>
  </si>
  <si>
    <t>1105</t>
  </si>
  <si>
    <t>College Algebra</t>
  </si>
  <si>
    <t>MGF</t>
  </si>
  <si>
    <t>1106</t>
  </si>
  <si>
    <t>1107</t>
  </si>
  <si>
    <t>AST</t>
  </si>
  <si>
    <t>2002</t>
  </si>
  <si>
    <t>Descriptive Astronomy</t>
  </si>
  <si>
    <t>BSC</t>
  </si>
  <si>
    <t>1005</t>
  </si>
  <si>
    <t>2085</t>
  </si>
  <si>
    <t>ESC</t>
  </si>
  <si>
    <t>Introduction to Earth Science</t>
  </si>
  <si>
    <t>EVR</t>
  </si>
  <si>
    <t>2001</t>
  </si>
  <si>
    <t>Introduction to Environmental Science</t>
  </si>
  <si>
    <t>2053</t>
  </si>
  <si>
    <t>General Physics I</t>
  </si>
  <si>
    <t>AMH</t>
  </si>
  <si>
    <t>ANT</t>
  </si>
  <si>
    <t>Introduction to Anthropology</t>
  </si>
  <si>
    <t>POS</t>
  </si>
  <si>
    <t>2041</t>
  </si>
  <si>
    <t>SYG</t>
  </si>
  <si>
    <t>Principles of Sociology</t>
  </si>
  <si>
    <t>A history of the United States with attention given to relevant developments in the Western Hemisphere from 1877 to the present.</t>
  </si>
  <si>
    <t>Description</t>
  </si>
  <si>
    <t>The cross-cultural study of the human species in biological and social perspective. Surveys the four major branches of anthropology: physical anthropology, archaeology, linguistic anthropology, and cultural anthropology.</t>
  </si>
  <si>
    <t>This course offers students an enhanced appreciation and understanding of art. Student will critically evaluate a broad range of imagery, media, artists, movements and historical periods in the visual arts.</t>
  </si>
  <si>
    <t>An introductory and overview of astronomy course. It is designed to introduce a broad range of topics in astronomy that will be discussed in greater detail in more advanced classes.</t>
  </si>
  <si>
    <t>Biological Principles for Non-Majors</t>
  </si>
  <si>
    <t>A comprehensive introduction to living systems, including the scientific basis of biology, cell structure and function, genetic mechanisms, human anatomy and physiology, and ecological and evolutionary processes.</t>
  </si>
  <si>
    <t>This course deals with biological systems at the cellular and subcellular levels. Topics include an introduction to biochemistry, cell structure and function, enzymes, respiration, mitosis and meiosis, genetics and gene expressi</t>
  </si>
  <si>
    <t>Prereq</t>
  </si>
  <si>
    <t>Coreq</t>
  </si>
  <si>
    <t>BSC 2010L</t>
  </si>
  <si>
    <t>2010L</t>
  </si>
  <si>
    <t>Cellular Processes Laboratory</t>
  </si>
  <si>
    <t>BSC 2010</t>
  </si>
  <si>
    <t>Laboratory portion of Biology I Cellular Processes relating to cellular and subcellular structure and function. Mitosis, meiosis, and Mendelian genetics will be stressed.</t>
  </si>
  <si>
    <t>Anatomy and Physiology I For Health Professionals</t>
  </si>
  <si>
    <t>BSC 2085L</t>
  </si>
  <si>
    <t>Introduction to the normal structure, function and selected pathological conditions for physiologic systems. Focus on understanding how the body functions in preparing for careers in nursing or healthrelated professions.</t>
  </si>
  <si>
    <t>2085L</t>
  </si>
  <si>
    <t>BSC 2085</t>
  </si>
  <si>
    <t>Laboratory exercises and virtual dissections linked to the basic content of Anatomy &amp; Physiology I for Health Professionals.</t>
  </si>
  <si>
    <t>COP 3514</t>
  </si>
  <si>
    <t>COP 4530</t>
  </si>
  <si>
    <t>An introductory course to computer animation. Topics include storyboarding, camera control, hierarchical character modeling, inverse kinematics, keyframing, motion capture, dynamic simulation, and facial animation.</t>
  </si>
  <si>
    <t>Analysis, design, and development of software that operates on web servers and web browsers, supporting multiple concurrent users.</t>
  </si>
  <si>
    <t>COP 3331</t>
  </si>
  <si>
    <t>This course introduces students to computer graphics techniques, computer vision techniques, and hardware designs that make augmented and virtual reality systems immersive.</t>
  </si>
  <si>
    <t>This course will introduce students to the technical definition of malware, to the various malware analysis techniques (including reverse engineering of malware), and how to mitigate a malware attack.</t>
  </si>
  <si>
    <t>COP 3515</t>
  </si>
  <si>
    <t>This course involves the exploration of new forms of Human-Computer Interaction (HCI) based on a passive measurement of neurophysiological states (cognitive and affective). These include measuring cognitive workload and affective engagement. Students will read research papers in several related disciplines (i.e. Neuroscience, Cognitive Psychology, Cognitive Science, Medical BCI, Computational Neuroscience, and others) and present and discuss them in the course. We will explore the uses of noninvasive ubiquitous electroencephalographic (EEG) brain technologies. Also, students will learn the basics of other brain imaging technologies such as nearinfrared spectroscopy (fNIRS) and Functional Magnetic Resonance Imaging (fMRI) and how they relate to the field of computing. We will also explore ways to use such measurements as a form of machine control</t>
  </si>
  <si>
    <t>CDA 3201</t>
  </si>
  <si>
    <t>Practical introduction to a range of fundamental image processing algorithms. Extensive programming, with emphasis on image analysis and transformation techniques. Image transformation and manipulation.</t>
  </si>
  <si>
    <t>Introduction to topics such as image formation, segmentation, feature extraction, matching, shape recovery, texture analysis, object recognition, and dynamic scene analysis.</t>
  </si>
  <si>
    <t>Introduction to Artificial Intelligence covers basic concepts, tools, and techniques used to produce artificial intelligence. Basic machine learning concepts. Use of different software tools for searching, reasoning and learning.</t>
  </si>
  <si>
    <t>The study of systems that can recognize, interpret, process, and simulate human affect. Topics may include physiology of emotion, lie detection, wearable devices, music, gaming, and ethical concerns associated with affective computing.</t>
  </si>
  <si>
    <t>This course covers the principles of automated reasoning/mechanical theorem proving. Topics to be covered include propositional logic, predicate logic, skolem standard forms, various resolution principles and methods, and non-classical logics.</t>
  </si>
  <si>
    <t>The concepts and principles of computer processing of natural language, including linguistic phenomena, formal methods, and applications.</t>
  </si>
  <si>
    <t>An introduction to the fundamentals of robotics. Students will learn the fundamentals of robotics including kinematics, inverse kinematics, Jacobian, velocity, configuration space, motion planning, and path planning algorithms.</t>
  </si>
  <si>
    <t>COP 4530, EGN 4450</t>
  </si>
  <si>
    <t>This course introduces the techniques used for developing effective visual analysis tools. The course covers principles from perception and design, and the algorithms used in visualizing a broad range of data types.</t>
  </si>
  <si>
    <t>This course introduces useful techniques to model, analyze, and understand large-scale social media, with focus on social network analysis, user modeling, bot detection, and dynamical processes over social and information networks.</t>
  </si>
  <si>
    <t>COP 4530, CDA 3201</t>
  </si>
  <si>
    <t>Introduction to computer hardware, logic elements and Boolean algebra, computer arithmetic, the central processing unit, assembly language programming, input/output, and memory.</t>
  </si>
  <si>
    <t>COP 2510</t>
  </si>
  <si>
    <t>CSE and EE majors. Others by special permission. Advanced coverage of Boolean Algebra, introduction to minimization of combinational logic circuits, analysis and synthesis of sequential circuits, testing of logic circuits and programmable logic devices.</t>
  </si>
  <si>
    <t>CDA 3103, COP 3514</t>
  </si>
  <si>
    <t>CDA 3201L</t>
  </si>
  <si>
    <t>Laboratory component of the Computer Logic and Design class.</t>
  </si>
  <si>
    <t>CDA 4203</t>
  </si>
  <si>
    <t>CDA 4205</t>
  </si>
  <si>
    <t>CDA 4213</t>
  </si>
  <si>
    <t>CEN 3722</t>
  </si>
  <si>
    <t>CGS 1540</t>
  </si>
  <si>
    <t>CGS 3303</t>
  </si>
  <si>
    <t>Design Methods, Top-Down design, Building Blocks, Instruction and addressing models, minicomputer design, interfacing.</t>
  </si>
  <si>
    <t>CDA 3201, CDA 3201L</t>
  </si>
  <si>
    <t>This lab introduces the student to the concept of system design. Several projects are given including building timing circuits, memory-based and communication circuits, and microcomputer-based designs.</t>
  </si>
  <si>
    <t>Principles of the design of computer systems, processors, memories, and switches. Consideration of the register transfer representation of a computer, ALU's and their implementation, control units, memory and I/O, and the hardware support of operation systems.</t>
  </si>
  <si>
    <t>Laboratory component of the Computer Architecture class.</t>
  </si>
  <si>
    <t>Covers analysis and design of CMOS processing technology, CMOS logic and circuit design, layout timing and delay, and power and thermal issues. CMOS transistor theory. VLSI system design, case studies and rapid prototype chip design.</t>
  </si>
  <si>
    <t>Scalable CMOS layout design, circuit extraction, transistor-level and lay-out level simulation, SPICE parameters/modeling, transistor sizing, standard and macro-cell based layout, static/dynamic CMOS, combinational/sequential block layout, memory I/O design.</t>
  </si>
  <si>
    <t>Covers analysis and design of digital systems using VHDL simulation. Provides experience with field programmable logic gates and gate arrays. Introduces the requirements for field programmable systems; testing of circuitry, and analysis of system design.</t>
  </si>
  <si>
    <t>CHM 2045</t>
  </si>
  <si>
    <t>CHS 2440</t>
  </si>
  <si>
    <t>Efficient hardware implementation of cryptographic algorithms is presented to meet the performance and cost requirements of computing platforms from handheld to server-level computers. Cryptographic implementation attacks and countermeasures are covered.</t>
  </si>
  <si>
    <t>This course introduces the fundamentals of hardware security for integrated circuits, intellectual property, and reconfigurable devices, including hardware security primitives, Trojans, physical and side-channel attacks, and emerging countermeasures.</t>
  </si>
  <si>
    <t>This course introduces practical aspects of hardware security for integrated circuits and reconfigurable hardware, with hands-on assignments introducing physical, side channel, and system-level attacks and countermeasures.</t>
  </si>
  <si>
    <t>Mobile Robotic Control Systems design and implementation. Includes microcontroller, sensor, and actuator control processes for localization and navigation. Team project development of software interface for robot control.</t>
  </si>
  <si>
    <t>The basics of HCI in terms of psychology, computers, and their integration into design and practice are discussed. A life-cycle development framework is presented where user needs, functionality, interaction, and usability are taken into account.</t>
  </si>
  <si>
    <t>An overview of software engineering techniques for producing high quality software. Student will participate in a software development team.</t>
  </si>
  <si>
    <t>The course provides the fundamental principles and tools for testing and validating large-scale software systems. The course is open to majors as well as non-majors.</t>
  </si>
  <si>
    <t>COP 2510, COP 4530</t>
  </si>
  <si>
    <t>The development architecture for mobile apps is presented as are a number of development tools. Students design and implement mobile apps of varying complexity with a focus on the project development process.</t>
  </si>
  <si>
    <t>An introduction to databases, their uses, design, and implementation with IT applications. Query languages, data organization, and modeling are covered. The course emphasizes standard practices for managing information.</t>
  </si>
  <si>
    <t>Elements of computers are discussed. Core areas of IT are introduced: human computer interaction, information management, networking, system administration and maintenance, system integration and architecture, and web systems and technologies.</t>
  </si>
  <si>
    <t>Examines how web sites are developed. Focus on client-side and server-side scripting including HTML, JavaScript, and CSS. A substantial project requiring the design and implementation of an online web site is required.</t>
  </si>
  <si>
    <t>Chemistry for Liberal Studies I</t>
  </si>
  <si>
    <t>This course is designed for liberal arts students to learn basic chemical principles. Students will learn about reactions, energy and the scientific method. The course will have an emphasis on the chemistry of global climate change.</t>
  </si>
  <si>
    <t>Principles and applications of chemistry including properties of substances and reactions, thermochemistry, atomic-molecular structure and bonding, periodic properties of elements and compounds.</t>
  </si>
  <si>
    <t>MAC 1105</t>
  </si>
  <si>
    <t>Laboratory portion of General Chemistry I. Introduction to laboratory techniques; study of properties of elements and compounds; synthesis and analysis of natural and commercial materials.</t>
  </si>
  <si>
    <t>CHM 2045 or CHS 2440</t>
  </si>
  <si>
    <t>CIS 3363</t>
  </si>
  <si>
    <t>Introduction to important concepts and principles of chemistry with emphasis on areas considered most relevant in an engineering context.</t>
  </si>
  <si>
    <t>MAC 1105+</t>
  </si>
  <si>
    <t>Laboratory portion of General Chemistry for Engineers. Introduction to laboratory techniques, study of properties of elements, synthesis and analysis of natural and commercial materials.</t>
  </si>
  <si>
    <t>The fundamentals of cyber security are introduced. Students learn to identify attack phases, understand the adversary's motivations, the resources and techniques they use, and the intended end-game. Techniques for mitigating threats are described.</t>
  </si>
  <si>
    <t>COP 2512</t>
  </si>
  <si>
    <t>Board review of Information Security and related elements. Includes terminology, history of the discipline, overview of information security program management. Suitable for IS, criminal justice, political science, accounting information systems students</t>
  </si>
  <si>
    <t>This course examines classical cryptography, entropy, stream and block ciphers, public key versus symmetric cryptography, one-way and trap-door functions, plus other specific tools and techniques in popular use.</t>
  </si>
  <si>
    <t>MAD 2104</t>
  </si>
  <si>
    <t>This course covers foundations of systems security, including availability, authentication, access control, network penetration/defense, reverse engineering, cyber physical systems, forensics, supply chain management security, and secure systems design.</t>
  </si>
  <si>
    <t>CIS 3213, COP 2513, MAD 2104</t>
  </si>
  <si>
    <t>Role of systems architecture in systems integration, performance, and effectiveness. Principles and concepts of "devops" (development operations) interplay between IT applications roll-out and related organizational processes.</t>
  </si>
  <si>
    <t>This is a hand-on class in the methods and technologies of cloud computing. Upon completion of this course students will be able to create, configure, build, deploy, and manage a variety of cloud based solutions.</t>
  </si>
  <si>
    <t>Penetration testing and related software tools are presented. Legalities and various cyber-attacks such distributed denial of service, man-in-the-middle, and password attacks are covered. Methods to correct security flaws are given.</t>
  </si>
  <si>
    <t>Teaches the methods of acquiring, preserving, retrieving, and presenting data that have been processed electronically and stored on computer media for use in legal proceedings. Focus on MS Windows systems.</t>
  </si>
  <si>
    <t>COP 2030, MAD 2104</t>
  </si>
  <si>
    <t>This course will explore emerging cyber-security technologies addressing security issues of cyberinfrastructures. It will cover privacy-enhancing and trustworthy techniques for cloud computing and internet of thing systems.</t>
  </si>
  <si>
    <t>This course will study the human aspects of cybersecurity and cover such topics as: identity management, social engineering, societal behaviors, privacy and security, and individual awareness and understanding of cybersecurity.</t>
  </si>
  <si>
    <t>This course introduces students to ethical issues and professional responsibilities arising in the computer sciences. Students will develop ethical solutions to real-world problems and present them.</t>
  </si>
  <si>
    <t>This course covers the professional code of ethics and a survey of ethical issues in computing such as intellectual property, security, privacy, and copyright. Class discussions cover ethical responsibilities of IT professionals and issues that are shaping our society.</t>
  </si>
  <si>
    <t>This is an introductory course for big data storage and analysis in Hadoop cluster. Topics include Hadoop file system, Hadoop cluster architectures, Hadoop ecosystems, and big data processing frameworks MapReduce, Spark, Pig and Hive.</t>
  </si>
  <si>
    <t>The CIANA model, information security management techniques, and security concerns are presented. Topics include access control systems, network security, security management practices, cryptography, disaster recovery planning, and others.</t>
  </si>
  <si>
    <t>Covers the fundamentals of computer security. The following topics are addressed: Network Security, Cryptography, Access Control, Security Architecture and Models, Applications and Systems Development, Vulnerability Assessment.</t>
  </si>
  <si>
    <t>COP 4600</t>
  </si>
  <si>
    <t>An in-depth look at database security concepts and auditing techniques. Hands-on approach when examining security techniques. Examines different security strategies and advancements in implementation as well as problem solving.</t>
  </si>
  <si>
    <t>COP 3718</t>
  </si>
  <si>
    <t>This course covers hands-on skills for cybersecurity -- how to perform common offense and defense activities on computer networks, penetration testing, software exploit basics, basic network forensics, and basics on incident response.</t>
  </si>
  <si>
    <t>COP 2513</t>
  </si>
  <si>
    <t>This course covers how to protect the security of realworld systems -- configuring host/network security settings, penetration testing, software exploit basics, and basics on incident response and forensics.</t>
  </si>
  <si>
    <t>Specialized independent study determined by the needs and interests of the student.</t>
  </si>
  <si>
    <t>Offers a focused team-based design experience incorporating appropriate engineering standards and multiple realistic constraints. Projects are proposed by industry and/or other partners and are completed within a defined development process.</t>
  </si>
  <si>
    <t>Supervised research determined by the needs and interests of the student.</t>
  </si>
  <si>
    <t>Special topics in computer science and computer engineering.</t>
  </si>
  <si>
    <t>This course is the capstone project for IT majors. Students are required to design, implement, and deliver a complete IT solution to a problem leveraging discipline-specific, critical thinking, and communication skills acquired in this major.</t>
  </si>
  <si>
    <t>Individual study as practical computer science and/or computer engineering work under industrial supervision with a faculty approved outline and endof-semester report.</t>
  </si>
  <si>
    <t>Practical information technology work under industrial supervision with a faculty-approved outline and endof-semester report.</t>
  </si>
  <si>
    <t>An introduction to the design and analysis of computer communication networks. Topics include application layer protocols, Internet protocols, network interfaces, local and wide area networks, wireless networks, bridging and routing, and current topics.</t>
  </si>
  <si>
    <t>Presents the design and analysis of computer networks. The emphasis is on application- and Internet-layer protocols. Network interfaces, Internet protocols, wireless networks, routing, and security issues are introduced.</t>
  </si>
  <si>
    <t>CNT 4104L</t>
  </si>
  <si>
    <t>This lab provides a hands-on introduction to computer networking and the protocols used to coordinate and control communications on them.</t>
  </si>
  <si>
    <t>CNT 4104</t>
  </si>
  <si>
    <t>COP 2030</t>
  </si>
  <si>
    <t>COP 3353</t>
  </si>
  <si>
    <t>This course surveys network security standards and emphasizes applications that are widely used on the Internet and for corporate networks. This course also examines Firewalls and related tools used to provide both network and perimeter security.</t>
  </si>
  <si>
    <t>The course is a study of fundamental concepts and principles of computing and network security. The course covers basic security topics, including symmetric and public key cryptography, digital signatures, hash functions,and network security protocols.</t>
  </si>
  <si>
    <t>COT 3100</t>
  </si>
  <si>
    <t>Principles and practices for secure computing and writing secure software, including software for performing information management and networking and communications.</t>
  </si>
  <si>
    <t>Examines the activities related to the selection, installation and management of computer systems. Covers concepts essential to the administration of OS, networks, and services. Covers system documentation, policies and procedures.</t>
  </si>
  <si>
    <t>This course presents the fundamentals of network programming in C# .NET. In this course, the student will learn how to use the Visual Studio development environment to create Windows client and server applications. Topics include network object oriented programming, the study of network protocols, client/server applications, peer-to-peer applications, ASP.NET, Web Services, cloud computing and an introduction to Windows 8 Phone development.</t>
  </si>
  <si>
    <t>This course introduces the science of networks via elements of graph theory and practical analysis of real-life datasets.</t>
  </si>
  <si>
    <t>Programming Concepts I</t>
  </si>
  <si>
    <t>This course covers basic programming concepts using the Python language for implementation and developing problem solving skills.</t>
  </si>
  <si>
    <t>An examination of a modern programming language emphasizing programming concepts and design methodology.</t>
  </si>
  <si>
    <t>MAC 2281 or MAC 2311</t>
  </si>
  <si>
    <t>An introduction to computer programming using a modern high-level language with IT applications. Topics include variables, types, expressions, and assignment, control structures, I/O, functions, and structured decomposition.</t>
  </si>
  <si>
    <t>An introduction to object oriented programming emphasizing an objects first approach with applications to IT. Objects, methods, and classes are studied in detail. Students design and implement object-oriented programs to solve IT problems.</t>
  </si>
  <si>
    <t>Design of a computer program using an ObjectOriented programming language. Extension of programming knowledge from a procedural language to an object-oriented language. Analysis of program requirements.</t>
  </si>
  <si>
    <t>Object Oriented Software Design</t>
  </si>
  <si>
    <t>CDA 3103</t>
  </si>
  <si>
    <t>Description Introduction to a modern Linux distribution; installation in a desktop-friendly virtualized environment, users and software packages management, usage of the shell for navigation, and text processing command line tools.</t>
  </si>
  <si>
    <t>The class extends students' programming knowledge by systematically considering the concepts involved in program design and creation. Students will also build upon their previous programming experience by learning to use the C programming language in a networked environment.</t>
  </si>
  <si>
    <t>Covers problem solving with an emphasis on the creation of programs to be developed and maintained in a variety of environments from small to large IT organizations. Concepts relating to program efficiency are studied.</t>
  </si>
  <si>
    <t>MAD 2104, COP 2513 or COP 2250</t>
  </si>
  <si>
    <t>Database Systems Design</t>
  </si>
  <si>
    <t>This course provides an in-depth treatment of working with Relational Database Management System (DBMS), with particular reference to MySQL. It also shows how to interface with MySQL using both PHP and Java languages.</t>
  </si>
  <si>
    <t>COP 2700</t>
  </si>
  <si>
    <t>Database Systems Basics</t>
  </si>
  <si>
    <t>Database systems are described with particular emphasis on Relational Database Management Systems (RDBMS). SQLite is the target RDBMS. It is programmatically driven with the Python language and OpenOffice base.</t>
  </si>
  <si>
    <t>An introduction to the specification, design, and analysis of programming languages. Topics include syntax, operational semantics, type systems, type safety, lambda calculus, functional programming, polymorphism, side effects, and objects.</t>
  </si>
  <si>
    <t>Analysis, design, and development of software systems using objective methodology with object oriented programming and advanced software development tools (such as integrated development environments).</t>
  </si>
  <si>
    <t>Advanced object-oriented programming techniques and applications. Topics include GUI design, visual objects, event handling, data validation, interfaces, database connection, etc.</t>
  </si>
  <si>
    <t>This course will cover basics in large-scale parallel computing and CUDA programming, and advanced techniques for parallel code optimization and domain-specific case studies.</t>
  </si>
  <si>
    <t>COP 4538</t>
  </si>
  <si>
    <t>Understand and implement fundamentals of concise data structure and organization for program efficiency, clarity and simplification. Implementation of different data types and structures. Understanding of current data structures. Functional programming concepts will be covered.</t>
  </si>
  <si>
    <t>COP 3514, CDA 3103</t>
  </si>
  <si>
    <t>Formalizes the concepts of algorithm and time complexity. Data structures such as heaps, lists, queues, stacks, and various forms of trees are covered. Students design and analyze algorithms. Numerous classic algorithms are covered.</t>
  </si>
  <si>
    <t>Addresses the software-development cycle and code maintenance, as well as software correctness. Various code testing strategies and debugging methods are presented along with tools for software maintenance and debugging.</t>
  </si>
  <si>
    <t>Introduction to systems programming. Design of operating systems. Concurrent processing, synchronization, and storage management policies.</t>
  </si>
  <si>
    <t>Introduction to techniques for compiling software; lexical, syntactic, and semantic analyses; abstract syntax trees; symbol tables; code generation and optimization.</t>
  </si>
  <si>
    <t>This course covers software development for mobile devices, mainly cellular phones. The primary goal of the course is to teach students how to design, develop, and deploy complete market-ready applications for mobile devices.</t>
  </si>
  <si>
    <t>Database management systems are presented, covering relational, CODASYL, network, hierarchical, and object-oriented models. Backups and database server admin are covered. Best practices for information management are covered.</t>
  </si>
  <si>
    <t>This course covers the fundamentals and applications of database management systems, including data models, relational database design, query languages, and web-based database applications.</t>
  </si>
  <si>
    <t>This course covers object-oriented programming in Java and Java foundation classes. Topics include classes, inheritance, interfaces, graphical user interfaces (GUIs), event-driven programming, exception handling, and networking.</t>
  </si>
  <si>
    <t>Topics to be chosen by students and instructor permitting newly developing sub-disciplinary special interests to be explored.</t>
  </si>
  <si>
    <t>Introduction to set algebra, propositional calculus and finite algebraic structures as they apply to computer systems.</t>
  </si>
  <si>
    <t>MAC 2281</t>
  </si>
  <si>
    <t>Introduction to the theory and application of various types of computing devices and the languages they recognize.</t>
  </si>
  <si>
    <t>Design principles and analysis techniques applicable to various classes of computer algorithms frequently used in practice.</t>
  </si>
  <si>
    <t>COT 3100, COP 4530</t>
  </si>
  <si>
    <t>Computational geometry is the study of efficient algorithms to solve geometric problems. Topics covered include Polygonal Triangulations, Polygon Partitioning, Convex Hulls, Voronoi Diagrams, Arrangements, Search and Intersection, and Motion Planning.</t>
  </si>
  <si>
    <t>COP 4530, COT 4400</t>
  </si>
  <si>
    <t>Introduction to and survey of quantum computing. Theory of qubits and quantum computation are studied including entanglement, superdense coding, quantum teleportation, and current topics. Students will also program simulated and real quantum computers.</t>
  </si>
  <si>
    <t>CDA 3103, COP 4530, EGN 4450</t>
  </si>
  <si>
    <t>Students learn to install, configure, tune, and administer a Linux system. Administration focuses on managing user accounts, file systems, and processes. System commands are presented and students learn to write basic scripts.</t>
  </si>
  <si>
    <t>ECO 2013 introduces students to basic economic terminology, definitions and measurements of macroeconomic data, simple macroeconomic models, fiscal and monetary policy, and international macroeconomic linkages.</t>
  </si>
  <si>
    <t>This course explores the human side of cybersecurity in a globally connected world. We will focus on personal, social and policy issues as well as address strategies to secure our digital footprints and promote safe interactions.</t>
  </si>
  <si>
    <t>This course provides electrical and computer engineering students with a strong background in material science and quantum physics as they relate to electrical/electronic material and device properties and applications.</t>
  </si>
  <si>
    <t>CHS 2440 or CHM 2045, PHY 2048 or PHY 2060</t>
  </si>
  <si>
    <t>MAC 2283 or MAC 2313</t>
  </si>
  <si>
    <t>Introduction to the USF College of Engineering disciplines and the engineering profession. Course will provide you with knowledge of resources to help you succeed. Course topics include academic policies and procedures, study skills, and career planning.</t>
  </si>
  <si>
    <t>Introduction to Engineering and its disciplines incorporating examples of tools and techniques used in design and presentation. Laboratory exercises will include computer tools, engineering design, team projects, and oral and written communication skills.</t>
  </si>
  <si>
    <t>A first course in electrical systems: AC/DC circuit analysis, electronics (diodes, transistors, operational amplifiers), digital circuits (logic gates, K-maps), control systems concepts (final value theorem), electrical safety, and AC power.</t>
  </si>
  <si>
    <t>EGN 3433 or MAP 2302</t>
  </si>
  <si>
    <t>Dynamic analysis of electrical, mechanical, hydraulic and thermal systems; Laplace transforms; numerical methods; use of computers in dynamic systems; analytical solution to first and second order ODEs. Restricted to majors.</t>
  </si>
  <si>
    <t>MAC 2283, PHY 2049</t>
  </si>
  <si>
    <t>An introduction to concepts of probability and statistical analysis with special emphasis on critical interpretation of data, comparing and contrasting claims, critical thinking, problem solving, and writing.</t>
  </si>
  <si>
    <t>MAC 2282</t>
  </si>
  <si>
    <t>Presents basic economic models used to evaluate engineering project investments with an understanding of the implications of human and cultural diversity on financial decisions through lectures, problem solving, and critical writing.</t>
  </si>
  <si>
    <t>Study and application of matrix algebra, differential equations and calculus of finite differences.</t>
  </si>
  <si>
    <t>This course helps prepare students for academic work by emphasizing expository writing, the basics of library research, and the conventions of academic discourse.</t>
  </si>
  <si>
    <t>This course emphasizes argument, research, and style. As students engage in creative and critical thinking, they learn to support assertions based on audience and purpose; students apply library research, strategies for revision, and peer response.</t>
  </si>
  <si>
    <t>Focuses on writing concerns of engineers. Deals with the content, organization, format, and style of specific types of engineering documents. Provides opportunity to improve oral presentations.</t>
  </si>
  <si>
    <t>ENC 1102</t>
  </si>
  <si>
    <t>An introductory course in the Earth Sciences. Topics covered include geology, weather, climate change, ocean dynamics, and the history of the Earth, the solar system and beyond</t>
  </si>
  <si>
    <t>An introductory lecture course linking the human and physical/biological world. The course will develop an understanding of population and resource interactions.</t>
  </si>
  <si>
    <t>Analysis of selected works of literature, music, film, and visual art, representing artists of diverse periods, cultures, genders, and races. Especially recommended for students who later take 4000-level Humanities courses.</t>
  </si>
  <si>
    <t>This course will explore ways in which culture influences the nature of government, economic success or failure, and constructive and destructive modes of self and social identification.</t>
  </si>
  <si>
    <t>This course provides students an in-depth look at the social costs and moral problems that have arisen by the expanded use of the Internet, and offers up-todate legal and philosophical perspectives on the global scale for the business community.</t>
  </si>
  <si>
    <t>ISM 3011</t>
  </si>
  <si>
    <t>Information Systems in Organizations</t>
  </si>
  <si>
    <t>CGS 2100</t>
  </si>
  <si>
    <t>An introduction to the language, concepts, structures and processes involved in the management of information systems including fundamentals of computer-based technology and the use of businessbased software for support of managerial decisions.</t>
  </si>
  <si>
    <t>Computers in Business</t>
  </si>
  <si>
    <t>A study of the use and impact of computers in all areas of business organizations. Course includes hands-on experience and the use of software packages for business analysis</t>
  </si>
  <si>
    <t>Senior standing, all majors. Introduction to information security and IT risk management in organizations. Covers essential IT general controls and frameworks to assess IT risk in a business environment.</t>
  </si>
  <si>
    <t>Examines issues related to information and cybersecurity technology development and use in a global society. Topics include governmental regulations, policy and ethical perspectives related to information literacy, access, security and the digital divide.</t>
  </si>
  <si>
    <t>Examines soft and technological threats to protected heath information and methods for reducing these threats with a focus on HIPAA compliance.</t>
  </si>
  <si>
    <t>This course will introduce students to the three major literary forms of prose, poetry and drama as well as to various "schools" of literary criticism.</t>
  </si>
  <si>
    <t>Concepts of the real number system, functions, graphs, and complex numbers. Analytic skills for solving linear, quadratic, polynomial, exponential, and logarithmic equations. Mathematical modeling of real life applications. College Algebra may be taken either for General Education credit or as preparation for a pre-calculus course.</t>
  </si>
  <si>
    <t>MAT 1033</t>
  </si>
  <si>
    <t>MAT</t>
  </si>
  <si>
    <t>This is an accelerated combination of MAC 1140 and MAC 1114 ; this course is best for students who have already seen some trigonometry. See the descriptions of MAC 1140 and MAC 1114 .</t>
  </si>
  <si>
    <t>Differentiation, limits, differentials, extremes, indefinite integral. No credit for mathematics majors.</t>
  </si>
  <si>
    <t>MAC 1147</t>
  </si>
  <si>
    <t>Definite integral, trigonometric functions, log, exponential, series, applications.</t>
  </si>
  <si>
    <t>Techniques of integration, numerical methods, analytic geometry, polar coordinates, Vector algebra, applications.</t>
  </si>
  <si>
    <t>MAC 2282 or MAC 2312</t>
  </si>
  <si>
    <t>Differentiation, limits, differentials, extremes, indefinite integral.</t>
  </si>
  <si>
    <t>Antiderivatives, the definite integral, applications, series, log, exponential and trig functions.</t>
  </si>
  <si>
    <t>Integration, polar coordinates, conic sections, vectors, indeterminate forms and proper integrals.</t>
  </si>
  <si>
    <t>MAC 2312 or MAC 2282</t>
  </si>
  <si>
    <t>MAC 2311 or MAC 2281</t>
  </si>
  <si>
    <t>This course covers set theory, logic, proofs, counting techniques, and graph theory.</t>
  </si>
  <si>
    <t>First order linear and nonlinear differential equations, higher order linear equations, applications.</t>
  </si>
  <si>
    <t>MAC 2282 or MAC 2312 or MAC 2283 or MAC 2313</t>
  </si>
  <si>
    <t>Intermediate Algebra</t>
  </si>
  <si>
    <t>This course provides students with an opportunity to develop algebraic knowledge needed for further study in several fields such as engineering, business, science, computer technology, and mathematics.</t>
  </si>
  <si>
    <t>Concepts and analytical skills in areas of logic, linear equations, linear programming, mathematics of finance, permutations and combinations, probability, and descriptive statistics.</t>
  </si>
  <si>
    <t>This terminal course is intended to present topics which demonstrate the beauty and utility of mathematics to the general student population. Among the topics which might be included are: Financial Mathematics, Linear and Exponential Growth, Numbers and Number Systems, Elementary Number Theory, Voting Techniques, Graph Theory, and the History of Mathematics.</t>
  </si>
  <si>
    <t>This course is intended to expose students to a variety of music and musical experiences through lecture, discussion, and direct experience involving critical listening. Students will enhance their awareness of the various elements, origins, and developments in music, as well as enrich critical thinking skills related to evaluating music. Students will prepare critiques of music performances in writing. By the end of the course, the student should have the background for appreciating the major genres of music, as well as having an enhanced ability to appreciate the various primary elements of any musical creation and /or performance.</t>
  </si>
  <si>
    <t>An introduction to several major themes in philosophy, as well as central philosophical concepts, texts, and methods.</t>
  </si>
  <si>
    <t>A qualitative investigation of physics concepts. Emphasis is placed on using physics to describe how common things work. No previous physics knowledge required.</t>
  </si>
  <si>
    <t>First semester of a two-semester sequence of calculus-based General Physics which includes a study of mechanics, wave motion, sound, thermodynamics, geometrical and physical optics, electricity and magnetism for students majoring in Physics, Chemistry and Engineering.</t>
  </si>
  <si>
    <t>PHY 2048L</t>
  </si>
  <si>
    <t>PHY 2049L</t>
  </si>
  <si>
    <t>PHY 2053L</t>
  </si>
  <si>
    <t>First semester of a two-semester sequence of general physics (mechanics, wave motion, sound, thermodynamics, geometrical and physical optics, electricity, and magnetism) and laboratory for physics majors and engineering students.</t>
  </si>
  <si>
    <t>PHY 2048</t>
  </si>
  <si>
    <t>PHY 2049</t>
  </si>
  <si>
    <t>PHY 2053</t>
  </si>
  <si>
    <t>Second semester of calculus based general physics. Topics studied include wave mechanics, electricity and magnetism, and optics.</t>
  </si>
  <si>
    <t>MAC 2282 or MAC 2312, PHY 2048 or PHY 2060, PHY 2048L</t>
  </si>
  <si>
    <t>Second semester of general physics and laboratory for physics majors and engineering students.</t>
  </si>
  <si>
    <t>First semester of a two semester sequence of noncalculus-based general physics (mechanics, heat, wave motion, sound, electricity, magnetism, optics, modern physics) for science students.</t>
  </si>
  <si>
    <t>MAC 1147 or MAC 2311 or MAC 2281</t>
  </si>
  <si>
    <t>2053L</t>
  </si>
  <si>
    <t>First semester of a two semester sequence of general physics (mechanics, heat, wave motion, sound, electricity, magnetism, optics, modern physics) laboratory for science students.</t>
  </si>
  <si>
    <t>Enriched General Physics I with Calculus</t>
  </si>
  <si>
    <t>First semester of an enriched sequence of calculus based general physics designed for physics majors and other students seeking a deeper understanding of mechanics, kinematics, conservation laws, central forces, harmonic motion, and mechanical waves.</t>
  </si>
  <si>
    <t>This course is intended to introduce students to the theory, institutions, and processes of American government and politics. In addition to learning fundamental information about the American political system, this course is designed to help students think critically about American government and politics.</t>
  </si>
  <si>
    <t>This course is an introduction to psychology for majors and nonmajors. It presents psychological theory and methods in a survey of various areas of psychology including clinical, cognitive, developmental, health, industrial, social and biopsychology.</t>
  </si>
  <si>
    <t>Descriptive and Inferential Statistics; Principles of Probability Theory, Discrete and Continuous Probability Distributions: Binomial Probability Distribution, Poisson Probability Distribution, Uniform Probability Distribution, Normal Dist and more.</t>
  </si>
  <si>
    <t>This course introduces undergraduate students to the discipline of sociology. During the semester, we will analyze sociological theories, core concepts, and issues through readings, lectures, discussions, films, and hands-on research assignments.</t>
  </si>
  <si>
    <t>This course explores the contributions of theater practitioners and audiences to the performance experience, aspects of theater making and an overview of theater history.</t>
  </si>
  <si>
    <t>Anatomy and Physiology Lab I for Nursing and other Healthcare Professionals</t>
  </si>
  <si>
    <t>Group</t>
  </si>
  <si>
    <t>Course</t>
  </si>
  <si>
    <t>Math and Science</t>
  </si>
  <si>
    <t>MAC 2311</t>
  </si>
  <si>
    <t>MAC 2312</t>
  </si>
  <si>
    <t>MAC 2283</t>
  </si>
  <si>
    <t>MAC 2313</t>
  </si>
  <si>
    <t>MAP 2302</t>
  </si>
  <si>
    <t>EGN 3433</t>
  </si>
  <si>
    <t>CHM 2045L</t>
  </si>
  <si>
    <t>CHS 2440L</t>
  </si>
  <si>
    <t>Basic Engineering</t>
  </si>
  <si>
    <t>EGN 3000L</t>
  </si>
  <si>
    <t>EGN 3000</t>
  </si>
  <si>
    <t>EGN 3373</t>
  </si>
  <si>
    <t>EGN 3443</t>
  </si>
  <si>
    <t>EGN 3615</t>
  </si>
  <si>
    <t>EGN 4450</t>
  </si>
  <si>
    <t>EEE 3394</t>
  </si>
  <si>
    <t>Specialization</t>
  </si>
  <si>
    <t>CDA 4203L</t>
  </si>
  <si>
    <t>CDA 4205L</t>
  </si>
  <si>
    <t>CDA 4213L</t>
  </si>
  <si>
    <t>COT 4400</t>
  </si>
  <si>
    <t>CIS 4250</t>
  </si>
  <si>
    <t>CIS 4910</t>
  </si>
  <si>
    <t>Writing</t>
  </si>
  <si>
    <t>ENC 3246</t>
  </si>
  <si>
    <t>Software Electives</t>
  </si>
  <si>
    <t>CAP 4034</t>
  </si>
  <si>
    <t>CAP 4063</t>
  </si>
  <si>
    <t>CAP 4111</t>
  </si>
  <si>
    <t>CAP 4401</t>
  </si>
  <si>
    <t>CAP 4410</t>
  </si>
  <si>
    <t>CAP 4662</t>
  </si>
  <si>
    <t>CEN 4020</t>
  </si>
  <si>
    <t>CEN 4072</t>
  </si>
  <si>
    <t>CIS 4364</t>
  </si>
  <si>
    <t>CNT 4004</t>
  </si>
  <si>
    <t>CNT 4411</t>
  </si>
  <si>
    <t>CNT 4419</t>
  </si>
  <si>
    <t>CNT 4800</t>
  </si>
  <si>
    <t>COP 4020</t>
  </si>
  <si>
    <t>COP 4365</t>
  </si>
  <si>
    <t>COP 4520</t>
  </si>
  <si>
    <t>COP 4620</t>
  </si>
  <si>
    <t>COP 4656</t>
  </si>
  <si>
    <t>COP 4710</t>
  </si>
  <si>
    <t>Hardware Electives</t>
  </si>
  <si>
    <t>CDA 4253</t>
  </si>
  <si>
    <t>CDA 4322</t>
  </si>
  <si>
    <t>CDA 4621</t>
  </si>
  <si>
    <t>COT 4210</t>
  </si>
  <si>
    <t>COT 4521</t>
  </si>
  <si>
    <t>CIS 4212</t>
  </si>
  <si>
    <t>CIS 4345</t>
  </si>
  <si>
    <t>CIS 4623</t>
  </si>
  <si>
    <t>CIS 4900</t>
  </si>
  <si>
    <t>CIS 4915</t>
  </si>
  <si>
    <t>CIS 4940</t>
  </si>
  <si>
    <t>All 14</t>
  </si>
  <si>
    <t>All 4</t>
  </si>
  <si>
    <t>All 7</t>
  </si>
  <si>
    <t>All 3</t>
  </si>
  <si>
    <t>STA 2023</t>
  </si>
  <si>
    <t>PHY 2020</t>
  </si>
  <si>
    <t>Breadth Courses</t>
  </si>
  <si>
    <t>PSY 2012</t>
  </si>
  <si>
    <t>ECO 2013</t>
  </si>
  <si>
    <t>CIS 3213</t>
  </si>
  <si>
    <t>CIS 4200</t>
  </si>
  <si>
    <t>CIS 4219</t>
  </si>
  <si>
    <t>CIS 4622</t>
  </si>
  <si>
    <t>CGS 3853</t>
  </si>
  <si>
    <t>CNT 4403</t>
  </si>
  <si>
    <t>COP 4703</t>
  </si>
  <si>
    <t>LIS 4414</t>
  </si>
  <si>
    <t>CIS 4935</t>
  </si>
  <si>
    <t>ISM 4323</t>
  </si>
  <si>
    <t>All 20</t>
  </si>
  <si>
    <t>All 5</t>
  </si>
  <si>
    <t>All 2</t>
  </si>
  <si>
    <t>Electives</t>
  </si>
  <si>
    <t>CIS 3360</t>
  </si>
  <si>
    <t>CIS 3362</t>
  </si>
  <si>
    <t>LIS 4779</t>
  </si>
  <si>
    <t>CIS 4203</t>
  </si>
  <si>
    <t>ISM 4041</t>
  </si>
  <si>
    <t>EDG 3801</t>
  </si>
  <si>
    <t>INR 3033</t>
  </si>
  <si>
    <t>CIS 3433</t>
  </si>
  <si>
    <t>CIS 4083</t>
  </si>
  <si>
    <t>CIS 4253</t>
  </si>
  <si>
    <t>CNT 4603</t>
  </si>
  <si>
    <t>CAP 4136</t>
  </si>
  <si>
    <t>CEN 4360</t>
  </si>
  <si>
    <t>CIS 4361</t>
  </si>
  <si>
    <t>CIS 4947</t>
  </si>
  <si>
    <t>COP 4564</t>
  </si>
  <si>
    <t>COP 4883</t>
  </si>
  <si>
    <t>CTS 4337</t>
  </si>
  <si>
    <t>COP 4900</t>
  </si>
  <si>
    <t>All 10</t>
  </si>
  <si>
    <t>All 17</t>
  </si>
  <si>
    <t>Semester</t>
  </si>
  <si>
    <t>Courses</t>
  </si>
  <si>
    <t>SEMESTER 1 (FALL)</t>
  </si>
  <si>
    <t>MAC 2281 - Engineering Calculus I Credit(s): 4 or MAC 2311 - Calculus I Credit(s): 4</t>
  </si>
  <si>
    <t>CHM 2045 - General Chemistry I Credit(s): 3 or CHS 2440 - General Chemistry for Engineers Credit(s): 3</t>
  </si>
  <si>
    <t>ENC 1101 - Composition I Credit(s): 3</t>
  </si>
  <si>
    <t>CHM 2045L - General Chemistry I Laboratory Credit(s): 1 or CHS 2440L - General Chemistry for Engineers Lab Credit(s): 1</t>
  </si>
  <si>
    <t>EGN 3000L - Foundations of Engineering Lab Credit(s): 3</t>
  </si>
  <si>
    <t>EGN 3000 - Foundations of Engineering Credit(s): 0-3</t>
  </si>
  <si>
    <t>Total Credit Hours: 14</t>
  </si>
  <si>
    <t>SEMESTER 2 (SPRING)</t>
  </si>
  <si>
    <t>MAC 2282 - Engineering Calculus II Credit(s): 4 or MAC 2312 - Calculus II Credit(s): 4</t>
  </si>
  <si>
    <t>ENC 1102 - Composition II Credit(s): 3</t>
  </si>
  <si>
    <t>PHY 2048 - General Physics I - Calculus Based Credit(s): 3</t>
  </si>
  <si>
    <t>COP 2510 - Programming Concepts Credit(s): 3</t>
  </si>
  <si>
    <t>PHY 2048L - General Physics I Laboratory Credit(s): 1</t>
  </si>
  <si>
    <t>SEMESTER 3 (SUMMER)</t>
  </si>
  <si>
    <t>YEAR 2 SEMESTER 4 (FALL)</t>
  </si>
  <si>
    <t>MAC 2283 - Engineering Calculus III Credit(s): 4 or MAC 2313 - Calculus III Credit(s): 4</t>
  </si>
  <si>
    <t>PHY 2049 - General Physics II - Calculus Based Credit(s): 3</t>
  </si>
  <si>
    <t>CDA 3103 - Computer Organization Credit(s): 3</t>
  </si>
  <si>
    <t>COP 3514 - Program Design Credit(s): 3</t>
  </si>
  <si>
    <t>PHY 2049L - General Physics II Laboratory Credit(s): 1</t>
  </si>
  <si>
    <t>SEMESTER 5 (SPRING)</t>
  </si>
  <si>
    <t>CDA 3201 - Computer Logic and Design Credit(s): 3</t>
  </si>
  <si>
    <t>CDA 3201L - Computer Logic and Design Lab Credit(s): 1</t>
  </si>
  <si>
    <t>SGEH - General Education Core Humanities Credit(s): 3</t>
  </si>
  <si>
    <t>COT 3100 - Introduction to Discrete Structures Credit(s): 3</t>
  </si>
  <si>
    <t>EGN 3433 - Modeling and Analysis of Engineering Systems Credit(s): 3 or MAP 2302 - Differential Equations Credit(s): 3</t>
  </si>
  <si>
    <t>COP 4530 - Data Structures Credit(s): 3</t>
  </si>
  <si>
    <t>Total Credit Hours: 16</t>
  </si>
  <si>
    <t>SEMESTER 6 (SUMMER)</t>
  </si>
  <si>
    <t>SGES - General Education Core Social Sciences Credit(s): 3</t>
  </si>
  <si>
    <t>Natural Science Elective (Life or Physical) Credit(s): 3</t>
  </si>
  <si>
    <t>EGN 3443 - Probability and Statistics for Engineers Credit(s): 3</t>
  </si>
  <si>
    <t>Total Credit Hours: 9</t>
  </si>
  <si>
    <t>YEAR 3 SEMESTER 7 (FALL)</t>
  </si>
  <si>
    <t>CDA 4205 - Computer Architecture Credit(s): 3</t>
  </si>
  <si>
    <t>CDA 4205L - Computer Architecture Lab Credit(s): 1</t>
  </si>
  <si>
    <t>EEE 3394 - Electrical Engineering Science I - Electronic Materials Credit(s): 3</t>
  </si>
  <si>
    <t>EGN 3373 - Electrical Systems I Credit(s): 3</t>
  </si>
  <si>
    <t>EGN 4450 - Introduction to Linear Systems Credit(s): 2</t>
  </si>
  <si>
    <t>EGN 3615 - Engineering Economics with Social and Global Implications Credit(s): 3</t>
  </si>
  <si>
    <t>Total Credit Hours: 15</t>
  </si>
  <si>
    <t>SEMESTER 8 (SPRING)</t>
  </si>
  <si>
    <t>CDA 4203 - Computer System Design Credit(s): 3</t>
  </si>
  <si>
    <t>CDA 4203L - Computer System Design Lab Credit(s): 1</t>
  </si>
  <si>
    <t>COT 4400 - Analysis of Algorithms Credit(s): 3</t>
  </si>
  <si>
    <t>CSE Hardware Elective Credit(s): 3</t>
  </si>
  <si>
    <t>General Elective Credit(s): 3</t>
  </si>
  <si>
    <t>Total Credit Hours: 13</t>
  </si>
  <si>
    <t>SEMESTER 9 (SUMMER)</t>
  </si>
  <si>
    <t>Internship/Co-op Participation (see advisor for credit options - CIS 4940)</t>
  </si>
  <si>
    <t>Total Credit Hours: 0</t>
  </si>
  <si>
    <t>YEAR 4 SEMESTER 10 (FALL)</t>
  </si>
  <si>
    <t>CDA 4213 - CMOS-VLSI Design Credit(s): 3</t>
  </si>
  <si>
    <t>CDA 4213L - CMOS-VLSI Design Lab Credit(s): 1</t>
  </si>
  <si>
    <t>COP 4600 - Operating Systems Credit(s): 3</t>
  </si>
  <si>
    <t>ENC 3246 - Communication for Engineers Credit(s): 3</t>
  </si>
  <si>
    <t>CSE Elective Credit(s): 3</t>
  </si>
  <si>
    <t>SEMESTER 11 (SPRING)</t>
  </si>
  <si>
    <t>CIS 4250 - Ethical Issues and Professional Conduct Credit(s): 3</t>
  </si>
  <si>
    <t>CIS 4910 - Computer Science and Engineering Project Credit(s): 3</t>
  </si>
  <si>
    <t>Total Credit Hours: 12</t>
  </si>
  <si>
    <t>Please consider pursing High Impact Practice opportunities this semester such as Education Abroad, Internship Opportunities, Community Engagement, or Research Opportunities.</t>
  </si>
  <si>
    <t>YEAR 1 SEMESTER 1 (FALL)</t>
  </si>
  <si>
    <t>EGN 3000L - Foundations of Engineering Lab Credit(s): 3 (Meets TGEC - Creative Thinking requirement)</t>
  </si>
  <si>
    <t>TGED - Human &amp; Cultural Diversity Credit(s): 3</t>
  </si>
  <si>
    <t>CSE Software Elective Credit(s): 3</t>
  </si>
  <si>
    <t>Internship/Co-op Participation (see advisor for credit options - CIS 4940 - Industry Internship)</t>
  </si>
  <si>
    <t>CNT 4419 - Secure Coding Credit(s): 3</t>
  </si>
  <si>
    <t>CSE Theory Elective Credit(s): 3</t>
  </si>
  <si>
    <t>CEN 4020 - Software Engineering Credit(s): 3 (Note: TGEH - High Impact Practice is met with CEN 4020</t>
  </si>
  <si>
    <t>CGS 1540 - Introduction to Databases for Information Technology Credit(s): 3</t>
  </si>
  <si>
    <t>MAC 1147 - Precalculus Algebra and Trigonometry Credit(s): 4</t>
  </si>
  <si>
    <t>COP 2512 - Programming Fundamentals for Information Technology Credit(s): 3</t>
  </si>
  <si>
    <t>MAD 2104 - Discrete Mathematics Credit(s): 3</t>
  </si>
  <si>
    <t>PHY 2020 - Conceptual Physics Credit(s): 3</t>
  </si>
  <si>
    <t>COP 2513 - Object Oriented Programming for Information Technology Credit(s): 3</t>
  </si>
  <si>
    <t>CGS 3303 - IT Concepts Credit(s): 3</t>
  </si>
  <si>
    <t>ECO 2013 - Economic Principles (Macroeconomics) Credit(s): 3</t>
  </si>
  <si>
    <t>STA 2023 - Introductory Statistics I Credit(s): 3</t>
  </si>
  <si>
    <t>CIS 3213 - Foundations of Cybersecurity Credit(s): 3</t>
  </si>
  <si>
    <t>COP 3515 - Advanced Program Design for Information Technology Credit(s): 3</t>
  </si>
  <si>
    <t>PSY 2012 - Introduction to Psychological Science Credit(s): 3</t>
  </si>
  <si>
    <t>SGEN - General Education Core Natural Sciences Credit(s): 3</t>
  </si>
  <si>
    <t>TGEI - Information and Data Literacy Credit(s): 3</t>
  </si>
  <si>
    <t>COP 4538 - Data Structures and Algorithms for Information Technology Credit(s): 3</t>
  </si>
  <si>
    <t>CEN 3722 - Human Computer Interfaces for Information Technology Credit(s): 3</t>
  </si>
  <si>
    <t>CIS 3363 - Information Technology Systems Security Credit(s): 3</t>
  </si>
  <si>
    <t>CIS 4622 - Hands-on Cybersecurity Credit(s): 3</t>
  </si>
  <si>
    <t>ISM 4323 - Information Security and IT Risk Management Credit(s): 3</t>
  </si>
  <si>
    <t>CGS 3853 - Web Systems for IT Credit(s): 3</t>
  </si>
  <si>
    <t>CIS 4219 - Human Aspects of Cybersecurity Credit(s): 3</t>
  </si>
  <si>
    <t>CNT 4104 - Computer Information Networks for Information Technology Credit(s): 3</t>
  </si>
  <si>
    <t>CNT 4104L - Computer Information Networks Laboratory for Information Technology Credit(s): 1</t>
  </si>
  <si>
    <t>Approved Cybersecurity Elective Credit(s): 3</t>
  </si>
  <si>
    <t>Internship/Co-op Participation (see advisor for credit options - CIS 4947 - Industry Internship for IT)</t>
  </si>
  <si>
    <t>CIS 4200 - Penetration Testing for IT Credit(s): 3</t>
  </si>
  <si>
    <t>CNT 4403 - Network Security and Firewalls Credit(s): 3</t>
  </si>
  <si>
    <t>COP 4703 - Advanced Database Systems for Information Technology Credit(s): 3</t>
  </si>
  <si>
    <t>CIS 4935 - Senior Project in Information Technology Credit(s): 4</t>
  </si>
  <si>
    <t>LIS 4414 - Information Policy and Ethics Credit(s): 3</t>
  </si>
  <si>
    <t>INR 3033 - International Political Cultures Credit(s): 3</t>
  </si>
  <si>
    <t>CIS 3433 - System Integration and Architecture for IT Credit(s): 3</t>
  </si>
  <si>
    <t>Approved IT Elective Credit(s): 3</t>
  </si>
  <si>
    <t>Internship/Co-op Participation (see advisor for credit options - CIS 4947)</t>
  </si>
  <si>
    <t>CIS 4083 - Cloud Computing for IT Credit(s): 3</t>
  </si>
  <si>
    <t>CNT 4603 - System Administration and Maintenance for Information Technology Credit(s): 3</t>
  </si>
  <si>
    <t>CIS 4253 - Ethics for Information Technology Credit(s): 3</t>
  </si>
  <si>
    <t>Cybersecurity Elective Credit(s): 3</t>
  </si>
  <si>
    <t>IT Elective Credit(s): 3</t>
  </si>
  <si>
    <t>All 11</t>
  </si>
  <si>
    <t>Notes</t>
  </si>
  <si>
    <t>COT 3100 moved from Specialization to Math and Science</t>
  </si>
  <si>
    <t>CDA 4321</t>
  </si>
  <si>
    <t>Choose 2</t>
  </si>
  <si>
    <t>CAP 4103</t>
  </si>
  <si>
    <t>CAP 4160</t>
  </si>
  <si>
    <t>CAP 4621</t>
  </si>
  <si>
    <t>CAP 4628</t>
  </si>
  <si>
    <t>CAP 4641</t>
  </si>
  <si>
    <t>CAP 4744</t>
  </si>
  <si>
    <t>CDA 4323</t>
  </si>
  <si>
    <t>CIS 4930</t>
  </si>
  <si>
    <t>COT 4601</t>
  </si>
  <si>
    <t>All 13</t>
  </si>
  <si>
    <t>MAC 2283 / MAC 2313 removed</t>
  </si>
  <si>
    <t>Theory</t>
  </si>
  <si>
    <t>CSE</t>
  </si>
  <si>
    <t>CAP 4637</t>
  </si>
  <si>
    <t>Choose 1</t>
  </si>
  <si>
    <t>Choose 4</t>
  </si>
  <si>
    <t>CNT 4716C</t>
  </si>
  <si>
    <t>COP 4368</t>
  </si>
  <si>
    <t>COP 4931</t>
  </si>
  <si>
    <t>CIS 4368</t>
  </si>
  <si>
    <t>Additional electives</t>
  </si>
  <si>
    <t>Internship/Co-op Participation (see advisor for credit options - CIS 4947 )</t>
  </si>
  <si>
    <t>CIS 4253 - Ethics for Information Technology Credit(s): 3 OR LIS 4414 - Information Policy and Ethics Credit(s): 3</t>
  </si>
  <si>
    <t>General Elective Credit(s): 4</t>
  </si>
  <si>
    <t>Internship/Co-op Participation (see advisor for credit options - CIS 4940 - Industry Internship )</t>
  </si>
  <si>
    <t>CEN 4020 - Software Engineering Credit(s): 3</t>
  </si>
  <si>
    <t>MAC 2282 - Engineering Calculus II Credit(s): 4 OR MAC 2312 - Calculus II Credit(s): 4</t>
  </si>
  <si>
    <t>MAC 2283 - Engineering Calculus III Credit(s): 4 OR MAC 2313 - Calculus III Credit(s): 4</t>
  </si>
  <si>
    <t>EGN 3433 - Modeling and Analysis of Engineering Systems Credit(s): 3 OR MAP 2302 - Differential Equations Credit(s): 3</t>
  </si>
  <si>
    <t>Topics include foundations of biometric systems, mobile biometric modalities and features, and adversary attacks.</t>
  </si>
  <si>
    <t>x</t>
  </si>
  <si>
    <t>SELECT @COURSE_BSC_2010L = CourseID FROM Bellini.Course WHERE CoursePrefix = 'BSC' AND CourseNumber = '2010L';</t>
  </si>
  <si>
    <t>SELECT @COURSE_BSC_2085L = CourseID FROM Bellini.Course WHERE CoursePrefix = 'BSC' AND CourseNumber = '2085L';</t>
  </si>
  <si>
    <t>SELECT @COURSE_CDA_3201L = CourseID FROM Bellini.Course WHERE CoursePrefix = 'CDA' AND CourseNumber = '3201L';</t>
  </si>
  <si>
    <t>SELECT @COURSE_CDA_4203L = CourseID FROM Bellini.Course WHERE CoursePrefix = 'CDA' AND CourseNumber = '4203L';</t>
  </si>
  <si>
    <t>SELECT @COURSE_CDA_4205L = CourseID FROM Bellini.Course WHERE CoursePrefix = 'CDA' AND CourseNumber = '4205L';</t>
  </si>
  <si>
    <t>SELECT @COURSE_CDA_4213L = CourseID FROM Bellini.Course WHERE CoursePrefix = 'CDA' AND CourseNumber = '4213L';</t>
  </si>
  <si>
    <t>SELECT @COURSE_CHM_2045L = CourseID FROM Bellini.Course WHERE CoursePrefix = 'CHM' AND CourseNumber = '2045L';</t>
  </si>
  <si>
    <t>SELECT @COURSE_CHS_2440L = CourseID FROM Bellini.Course WHERE CoursePrefix = 'CHS' AND CourseNumber = '2440L';</t>
  </si>
  <si>
    <t>SELECT @COURSE_CNT_4104L = CourseID FROM Bellini.Course WHERE CoursePrefix = 'CNT' AND CourseNumber = '4104L';</t>
  </si>
  <si>
    <t>SELECT @COURSE_CNT_4716C = CourseID FROM Bellini.Course WHERE CoursePrefix = 'CNT' AND CourseNumber = '4716C';</t>
  </si>
  <si>
    <t>SELECT @COURSE_EGN_3000L = CourseID FROM Bellini.Course WHERE CoursePrefix = 'EGN' AND CourseNumber = '3000L';</t>
  </si>
  <si>
    <t>SELECT @COURSE_PHY_2048L = CourseID FROM Bellini.Course WHERE CoursePrefix = 'PHY' AND CourseNumber = '2048L';</t>
  </si>
  <si>
    <t>SELECT @COURSE_PHY_2049L = CourseID FROM Bellini.Course WHERE CoursePrefix = 'PHY' AND CourseNumber = '2049L';</t>
  </si>
  <si>
    <t>SELECT @COURSE_PHY_2053L = CourseID FROM Bellini.Course WHERE CoursePrefix = 'PHY' AND CourseNumber = '2053L';</t>
  </si>
  <si>
    <t>SELECT @COURSE_AMH_2020  = CourseID FROM Bellini.Course WHERE CoursePrefix = 'AMH' AND CourseNumber = '2020';</t>
  </si>
  <si>
    <t>SELECT @COURSE_ANT_2000  = CourseID FROM Bellini.Course WHERE CoursePrefix = 'ANT' AND CourseNumber = '2000';</t>
  </si>
  <si>
    <t>SELECT @COURSE_ARH_2000  = CourseID FROM Bellini.Course WHERE CoursePrefix = 'ARH' AND CourseNumber = '2000';</t>
  </si>
  <si>
    <t>SELECT @COURSE_AST_2002  = CourseID FROM Bellini.Course WHERE CoursePrefix = 'AST' AND CourseNumber = '2002';</t>
  </si>
  <si>
    <t>SELECT @COURSE_BSC_1005  = CourseID FROM Bellini.Course WHERE CoursePrefix = 'BSC' AND CourseNumber = '1005';</t>
  </si>
  <si>
    <t>SELECT @COURSE_BSC_2010  = CourseID FROM Bellini.Course WHERE CoursePrefix = 'BSC' AND CourseNumber = '2010';</t>
  </si>
  <si>
    <t>SELECT @COURSE_BSC_2085  = CourseID FROM Bellini.Course WHERE CoursePrefix = 'BSC' AND CourseNumber = '2085';</t>
  </si>
  <si>
    <t>SELECT @COURSE_CAP_4034  = CourseID FROM Bellini.Course WHERE CoursePrefix = 'CAP' AND CourseNumber = '4034';</t>
  </si>
  <si>
    <t>SELECT @COURSE_CAP_4063  = CourseID FROM Bellini.Course WHERE CoursePrefix = 'CAP' AND CourseNumber = '4063';</t>
  </si>
  <si>
    <t>SELECT @COURSE_CAP_4103  = CourseID FROM Bellini.Course WHERE CoursePrefix = 'CAP' AND CourseNumber = '4103';</t>
  </si>
  <si>
    <t>SELECT @COURSE_CAP_4111  = CourseID FROM Bellini.Course WHERE CoursePrefix = 'CAP' AND CourseNumber = '4111';</t>
  </si>
  <si>
    <t>SELECT @COURSE_CAP_4136  = CourseID FROM Bellini.Course WHERE CoursePrefix = 'CAP' AND CourseNumber = '4136';</t>
  </si>
  <si>
    <t>SELECT @COURSE_CAP_4160  = CourseID FROM Bellini.Course WHERE CoursePrefix = 'CAP' AND CourseNumber = '4160';</t>
  </si>
  <si>
    <t>SELECT @COURSE_CAP_4401  = CourseID FROM Bellini.Course WHERE CoursePrefix = 'CAP' AND CourseNumber = '4401';</t>
  </si>
  <si>
    <t>SELECT @COURSE_CAP_4410  = CourseID FROM Bellini.Course WHERE CoursePrefix = 'CAP' AND CourseNumber = '4410';</t>
  </si>
  <si>
    <t>SELECT @COURSE_CAP_4621  = CourseID FROM Bellini.Course WHERE CoursePrefix = 'CAP' AND CourseNumber = '4621';</t>
  </si>
  <si>
    <t>SELECT @COURSE_CAP_4628  = CourseID FROM Bellini.Course WHERE CoursePrefix = 'CAP' AND CourseNumber = '4628';</t>
  </si>
  <si>
    <t>SELECT @COURSE_CAP_4637  = CourseID FROM Bellini.Course WHERE CoursePrefix = 'CAP' AND CourseNumber = '4637';</t>
  </si>
  <si>
    <t>SELECT @COURSE_CAP_4641  = CourseID FROM Bellini.Course WHERE CoursePrefix = 'CAP' AND CourseNumber = '4641';</t>
  </si>
  <si>
    <t>SELECT @COURSE_CAP_4662  = CourseID FROM Bellini.Course WHERE CoursePrefix = 'CAP' AND CourseNumber = '4662';</t>
  </si>
  <si>
    <t>SELECT @COURSE_CAP_4744  = CourseID FROM Bellini.Course WHERE CoursePrefix = 'CAP' AND CourseNumber = '4744';</t>
  </si>
  <si>
    <t>SELECT @COURSE_CAP_4773  = CourseID FROM Bellini.Course WHERE CoursePrefix = 'CAP' AND CourseNumber = '4773';</t>
  </si>
  <si>
    <t>SELECT @COURSE_CDA_3103  = CourseID FROM Bellini.Course WHERE CoursePrefix = 'CDA' AND CourseNumber = '3103';</t>
  </si>
  <si>
    <t>SELECT @COURSE_CDA_3201  = CourseID FROM Bellini.Course WHERE CoursePrefix = 'CDA' AND CourseNumber = '3201';</t>
  </si>
  <si>
    <t>SELECT @COURSE_CDA_4203  = CourseID FROM Bellini.Course WHERE CoursePrefix = 'CDA' AND CourseNumber = '4203';</t>
  </si>
  <si>
    <t>SELECT @COURSE_CDA_4205  = CourseID FROM Bellini.Course WHERE CoursePrefix = 'CDA' AND CourseNumber = '4205';</t>
  </si>
  <si>
    <t>SELECT @COURSE_CDA_4213  = CourseID FROM Bellini.Course WHERE CoursePrefix = 'CDA' AND CourseNumber = '4213';</t>
  </si>
  <si>
    <t>SELECT @COURSE_CDA_4253  = CourseID FROM Bellini.Course WHERE CoursePrefix = 'CDA' AND CourseNumber = '4253';</t>
  </si>
  <si>
    <t>SELECT @COURSE_CDA_4321  = CourseID FROM Bellini.Course WHERE CoursePrefix = 'CDA' AND CourseNumber = '4321';</t>
  </si>
  <si>
    <t>SELECT @COURSE_CDA_4322  = CourseID FROM Bellini.Course WHERE CoursePrefix = 'CDA' AND CourseNumber = '4322';</t>
  </si>
  <si>
    <t>SELECT @COURSE_CDA_4323  = CourseID FROM Bellini.Course WHERE CoursePrefix = 'CDA' AND CourseNumber = '4323';</t>
  </si>
  <si>
    <t>SELECT @COURSE_CDA_4621  = CourseID FROM Bellini.Course WHERE CoursePrefix = 'CDA' AND CourseNumber = '4621';</t>
  </si>
  <si>
    <t>SELECT @COURSE_CEN_3722  = CourseID FROM Bellini.Course WHERE CoursePrefix = 'CEN' AND CourseNumber = '3722';</t>
  </si>
  <si>
    <t>SELECT @COURSE_CEN_4020  = CourseID FROM Bellini.Course WHERE CoursePrefix = 'CEN' AND CourseNumber = '4020';</t>
  </si>
  <si>
    <t>SELECT @COURSE_CEN_4072  = CourseID FROM Bellini.Course WHERE CoursePrefix = 'CEN' AND CourseNumber = '4072';</t>
  </si>
  <si>
    <t>SELECT @COURSE_CEN_4360  = CourseID FROM Bellini.Course WHERE CoursePrefix = 'CEN' AND CourseNumber = '4360';</t>
  </si>
  <si>
    <t>SELECT @COURSE_CGS_1540  = CourseID FROM Bellini.Course WHERE CoursePrefix = 'CGS' AND CourseNumber = '1540';</t>
  </si>
  <si>
    <t>SELECT @COURSE_CGS_2100  = CourseID FROM Bellini.Course WHERE CoursePrefix = 'CGS' AND CourseNumber = '2100';</t>
  </si>
  <si>
    <t>SELECT @COURSE_CGS_3303  = CourseID FROM Bellini.Course WHERE CoursePrefix = 'CGS' AND CourseNumber = '3303';</t>
  </si>
  <si>
    <t>SELECT @COURSE_CGS_3853  = CourseID FROM Bellini.Course WHERE CoursePrefix = 'CGS' AND CourseNumber = '3853';</t>
  </si>
  <si>
    <t>SELECT @COURSE_CHM_2020  = CourseID FROM Bellini.Course WHERE CoursePrefix = 'CHM' AND CourseNumber = '2020';</t>
  </si>
  <si>
    <t>SELECT @COURSE_CHM_2045  = CourseID FROM Bellini.Course WHERE CoursePrefix = 'CHM' AND CourseNumber = '2045';</t>
  </si>
  <si>
    <t>SELECT @COURSE_CHS_2440  = CourseID FROM Bellini.Course WHERE CoursePrefix = 'CHS' AND CourseNumber = '2440';</t>
  </si>
  <si>
    <t>SELECT @COURSE_CIS_3213  = CourseID FROM Bellini.Course WHERE CoursePrefix = 'CIS' AND CourseNumber = '3213';</t>
  </si>
  <si>
    <t>SELECT @COURSE_CIS_3360  = CourseID FROM Bellini.Course WHERE CoursePrefix = 'CIS' AND CourseNumber = '3360';</t>
  </si>
  <si>
    <t>SELECT @COURSE_CIS_3362  = CourseID FROM Bellini.Course WHERE CoursePrefix = 'CIS' AND CourseNumber = '3362';</t>
  </si>
  <si>
    <t>SELECT @COURSE_CIS_3363  = CourseID FROM Bellini.Course WHERE CoursePrefix = 'CIS' AND CourseNumber = '3363';</t>
  </si>
  <si>
    <t>SELECT @COURSE_CIS_3433  = CourseID FROM Bellini.Course WHERE CoursePrefix = 'CIS' AND CourseNumber = '3433';</t>
  </si>
  <si>
    <t>SELECT @COURSE_CIS_4083  = CourseID FROM Bellini.Course WHERE CoursePrefix = 'CIS' AND CourseNumber = '4083';</t>
  </si>
  <si>
    <t>SELECT @COURSE_CIS_4200  = CourseID FROM Bellini.Course WHERE CoursePrefix = 'CIS' AND CourseNumber = '4200';</t>
  </si>
  <si>
    <t>SELECT @COURSE_CIS_4203  = CourseID FROM Bellini.Course WHERE CoursePrefix = 'CIS' AND CourseNumber = '4203';</t>
  </si>
  <si>
    <t>SELECT @COURSE_CIS_4212  = CourseID FROM Bellini.Course WHERE CoursePrefix = 'CIS' AND CourseNumber = '4212';</t>
  </si>
  <si>
    <t>SELECT @COURSE_CIS_4219  = CourseID FROM Bellini.Course WHERE CoursePrefix = 'CIS' AND CourseNumber = '4219';</t>
  </si>
  <si>
    <t>SELECT @COURSE_CIS_4250  = CourseID FROM Bellini.Course WHERE CoursePrefix = 'CIS' AND CourseNumber = '4250';</t>
  </si>
  <si>
    <t>SELECT @COURSE_CIS_4253  = CourseID FROM Bellini.Course WHERE CoursePrefix = 'CIS' AND CourseNumber = '4253';</t>
  </si>
  <si>
    <t>SELECT @COURSE_CIS_4345  = CourseID FROM Bellini.Course WHERE CoursePrefix = 'CIS' AND CourseNumber = '4345';</t>
  </si>
  <si>
    <t>SELECT @COURSE_CIS_4361  = CourseID FROM Bellini.Course WHERE CoursePrefix = 'CIS' AND CourseNumber = '4361';</t>
  </si>
  <si>
    <t>SELECT @COURSE_CIS_4364  = CourseID FROM Bellini.Course WHERE CoursePrefix = 'CIS' AND CourseNumber = '4364';</t>
  </si>
  <si>
    <t>SELECT @COURSE_CIS_4368  = CourseID FROM Bellini.Course WHERE CoursePrefix = 'CIS' AND CourseNumber = '4368';</t>
  </si>
  <si>
    <t>SELECT @COURSE_CIS_4622  = CourseID FROM Bellini.Course WHERE CoursePrefix = 'CIS' AND CourseNumber = '4622';</t>
  </si>
  <si>
    <t>SELECT @COURSE_CIS_4623  = CourseID FROM Bellini.Course WHERE CoursePrefix = 'CIS' AND CourseNumber = '4623';</t>
  </si>
  <si>
    <t>SELECT @COURSE_CIS_4900  = CourseID FROM Bellini.Course WHERE CoursePrefix = 'CIS' AND CourseNumber = '4900';</t>
  </si>
  <si>
    <t>SELECT @COURSE_CIS_4910  = CourseID FROM Bellini.Course WHERE CoursePrefix = 'CIS' AND CourseNumber = '4910';</t>
  </si>
  <si>
    <t>SELECT @COURSE_CIS_4915  = CourseID FROM Bellini.Course WHERE CoursePrefix = 'CIS' AND CourseNumber = '4915';</t>
  </si>
  <si>
    <t>SELECT @COURSE_CIS_4930  = CourseID FROM Bellini.Course WHERE CoursePrefix = 'CIS' AND CourseNumber = '4930';</t>
  </si>
  <si>
    <t>SELECT @COURSE_CIS_4935  = CourseID FROM Bellini.Course WHERE CoursePrefix = 'CIS' AND CourseNumber = '4935';</t>
  </si>
  <si>
    <t>SELECT @COURSE_CIS_4940  = CourseID FROM Bellini.Course WHERE CoursePrefix = 'CIS' AND CourseNumber = '4940';</t>
  </si>
  <si>
    <t>SELECT @COURSE_CIS_4947  = CourseID FROM Bellini.Course WHERE CoursePrefix = 'CIS' AND CourseNumber = '4947';</t>
  </si>
  <si>
    <t>SELECT @COURSE_CNT_4004  = CourseID FROM Bellini.Course WHERE CoursePrefix = 'CNT' AND CourseNumber = '4004';</t>
  </si>
  <si>
    <t>SELECT @COURSE_CNT_4104  = CourseID FROM Bellini.Course WHERE CoursePrefix = 'CNT' AND CourseNumber = '4104';</t>
  </si>
  <si>
    <t>SELECT @COURSE_CNT_4403  = CourseID FROM Bellini.Course WHERE CoursePrefix = 'CNT' AND CourseNumber = '4403';</t>
  </si>
  <si>
    <t>SELECT @COURSE_CNT_4411  = CourseID FROM Bellini.Course WHERE CoursePrefix = 'CNT' AND CourseNumber = '4411';</t>
  </si>
  <si>
    <t>SELECT @COURSE_CNT_4419  = CourseID FROM Bellini.Course WHERE CoursePrefix = 'CNT' AND CourseNumber = '4419';</t>
  </si>
  <si>
    <t>SELECT @COURSE_CNT_4603  = CourseID FROM Bellini.Course WHERE CoursePrefix = 'CNT' AND CourseNumber = '4603';</t>
  </si>
  <si>
    <t>SELECT @COURSE_CNT_4800  = CourseID FROM Bellini.Course WHERE CoursePrefix = 'CNT' AND CourseNumber = '4800';</t>
  </si>
  <si>
    <t>SELECT @COURSE_COP_2030  = CourseID FROM Bellini.Course WHERE CoursePrefix = 'COP' AND CourseNumber = '2030';</t>
  </si>
  <si>
    <t>SELECT @COURSE_COP_2510  = CourseID FROM Bellini.Course WHERE CoursePrefix = 'COP' AND CourseNumber = '2510';</t>
  </si>
  <si>
    <t>SELECT @COURSE_COP_2512  = CourseID FROM Bellini.Course WHERE CoursePrefix = 'COP' AND CourseNumber = '2512';</t>
  </si>
  <si>
    <t>SELECT @COURSE_COP_2513  = CourseID FROM Bellini.Course WHERE CoursePrefix = 'COP' AND CourseNumber = '2513';</t>
  </si>
  <si>
    <t>SELECT @COURSE_COP_2700  = CourseID FROM Bellini.Course WHERE CoursePrefix = 'COP' AND CourseNumber = '2700';</t>
  </si>
  <si>
    <t>SELECT @COURSE_COP_3331  = CourseID FROM Bellini.Course WHERE CoursePrefix = 'COP' AND CourseNumber = '3331';</t>
  </si>
  <si>
    <t>SELECT @COURSE_COP_3353  = CourseID FROM Bellini.Course WHERE CoursePrefix = 'COP' AND CourseNumber = '3353';</t>
  </si>
  <si>
    <t>SELECT @COURSE_COP_3514  = CourseID FROM Bellini.Course WHERE CoursePrefix = 'COP' AND CourseNumber = '3514';</t>
  </si>
  <si>
    <t>SELECT @COURSE_COP_3515  = CourseID FROM Bellini.Course WHERE CoursePrefix = 'COP' AND CourseNumber = '3515';</t>
  </si>
  <si>
    <t>SELECT @COURSE_COP_3718  = CourseID FROM Bellini.Course WHERE CoursePrefix = 'COP' AND CourseNumber = '3718';</t>
  </si>
  <si>
    <t>SELECT @COURSE_COP_4020  = CourseID FROM Bellini.Course WHERE CoursePrefix = 'COP' AND CourseNumber = '4020';</t>
  </si>
  <si>
    <t>SELECT @COURSE_COP_4365  = CourseID FROM Bellini.Course WHERE CoursePrefix = 'COP' AND CourseNumber = '4365';</t>
  </si>
  <si>
    <t>SELECT @COURSE_COP_4368  = CourseID FROM Bellini.Course WHERE CoursePrefix = 'COP' AND CourseNumber = '4368';</t>
  </si>
  <si>
    <t>SELECT @COURSE_COP_4520  = CourseID FROM Bellini.Course WHERE CoursePrefix = 'COP' AND CourseNumber = '4520';</t>
  </si>
  <si>
    <t>SELECT @COURSE_COP_4530  = CourseID FROM Bellini.Course WHERE CoursePrefix = 'COP' AND CourseNumber = '4530';</t>
  </si>
  <si>
    <t>SELECT @COURSE_COP_4538  = CourseID FROM Bellini.Course WHERE CoursePrefix = 'COP' AND CourseNumber = '4538';</t>
  </si>
  <si>
    <t>SELECT @COURSE_COP_4564  = CourseID FROM Bellini.Course WHERE CoursePrefix = 'COP' AND CourseNumber = '4564';</t>
  </si>
  <si>
    <t>SELECT @COURSE_COP_4600  = CourseID FROM Bellini.Course WHERE CoursePrefix = 'COP' AND CourseNumber = '4600';</t>
  </si>
  <si>
    <t>SELECT @COURSE_COP_4620  = CourseID FROM Bellini.Course WHERE CoursePrefix = 'COP' AND CourseNumber = '4620';</t>
  </si>
  <si>
    <t>SELECT @COURSE_COP_4656  = CourseID FROM Bellini.Course WHERE CoursePrefix = 'COP' AND CourseNumber = '4656';</t>
  </si>
  <si>
    <t>SELECT @COURSE_COP_4703  = CourseID FROM Bellini.Course WHERE CoursePrefix = 'COP' AND CourseNumber = '4703';</t>
  </si>
  <si>
    <t>SELECT @COURSE_COP_4710  = CourseID FROM Bellini.Course WHERE CoursePrefix = 'COP' AND CourseNumber = '4710';</t>
  </si>
  <si>
    <t>SELECT @COURSE_COP_4883  = CourseID FROM Bellini.Course WHERE CoursePrefix = 'COP' AND CourseNumber = '4883';</t>
  </si>
  <si>
    <t>SELECT @COURSE_COP_4900  = CourseID FROM Bellini.Course WHERE CoursePrefix = 'COP' AND CourseNumber = '4900';</t>
  </si>
  <si>
    <t>SELECT @COURSE_COP_4931  = CourseID FROM Bellini.Course WHERE CoursePrefix = 'COP' AND CourseNumber = '4931';</t>
  </si>
  <si>
    <t>SELECT @COURSE_COT_3100  = CourseID FROM Bellini.Course WHERE CoursePrefix = 'COT' AND CourseNumber = '3100';</t>
  </si>
  <si>
    <t>SELECT @COURSE_COT_4210  = CourseID FROM Bellini.Course WHERE CoursePrefix = 'COT' AND CourseNumber = '4210';</t>
  </si>
  <si>
    <t>SELECT @COURSE_COT_4400  = CourseID FROM Bellini.Course WHERE CoursePrefix = 'COT' AND CourseNumber = '4400';</t>
  </si>
  <si>
    <t>SELECT @COURSE_COT_4521  = CourseID FROM Bellini.Course WHERE CoursePrefix = 'COT' AND CourseNumber = '4521';</t>
  </si>
  <si>
    <t>SELECT @COURSE_COT_4601  = CourseID FROM Bellini.Course WHERE CoursePrefix = 'COT' AND CourseNumber = '4601';</t>
  </si>
  <si>
    <t>SELECT @COURSE_CTS_4337  = CourseID FROM Bellini.Course WHERE CoursePrefix = 'CTS' AND CourseNumber = '4337';</t>
  </si>
  <si>
    <t>SELECT @COURSE_ECO_2013  = CourseID FROM Bellini.Course WHERE CoursePrefix = 'ECO' AND CourseNumber = '2013';</t>
  </si>
  <si>
    <t>SELECT @COURSE_EDG_3801  = CourseID FROM Bellini.Course WHERE CoursePrefix = 'EDG' AND CourseNumber = '3801';</t>
  </si>
  <si>
    <t>SELECT @COURSE_EEE_3394  = CourseID FROM Bellini.Course WHERE CoursePrefix = 'EEE' AND CourseNumber = '3394';</t>
  </si>
  <si>
    <t>SELECT @COURSE_EGN_3000  = CourseID FROM Bellini.Course WHERE CoursePrefix = 'EGN' AND CourseNumber = '3000';</t>
  </si>
  <si>
    <t>SELECT @COURSE_EGN_3373  = CourseID FROM Bellini.Course WHERE CoursePrefix = 'EGN' AND CourseNumber = '3373';</t>
  </si>
  <si>
    <t>SELECT @COURSE_EGN_3433  = CourseID FROM Bellini.Course WHERE CoursePrefix = 'EGN' AND CourseNumber = '3433';</t>
  </si>
  <si>
    <t>SELECT @COURSE_EGN_3443  = CourseID FROM Bellini.Course WHERE CoursePrefix = 'EGN' AND CourseNumber = '3443';</t>
  </si>
  <si>
    <t>SELECT @COURSE_EGN_3615  = CourseID FROM Bellini.Course WHERE CoursePrefix = 'EGN' AND CourseNumber = '3615';</t>
  </si>
  <si>
    <t>SELECT @COURSE_EGN_4450  = CourseID FROM Bellini.Course WHERE CoursePrefix = 'EGN' AND CourseNumber = '4450';</t>
  </si>
  <si>
    <t>SELECT @COURSE_ENC_1101  = CourseID FROM Bellini.Course WHERE CoursePrefix = 'ENC' AND CourseNumber = '1101';</t>
  </si>
  <si>
    <t>SELECT @COURSE_ENC_1102  = CourseID FROM Bellini.Course WHERE CoursePrefix = 'ENC' AND CourseNumber = '1102';</t>
  </si>
  <si>
    <t>SELECT @COURSE_ENC_3246  = CourseID FROM Bellini.Course WHERE CoursePrefix = 'ENC' AND CourseNumber = '3246';</t>
  </si>
  <si>
    <t>SELECT @COURSE_ESC_2000  = CourseID FROM Bellini.Course WHERE CoursePrefix = 'ESC' AND CourseNumber = '2000';</t>
  </si>
  <si>
    <t>SELECT @COURSE_EVR_2001  = CourseID FROM Bellini.Course WHERE CoursePrefix = 'EVR' AND CourseNumber = '2001';</t>
  </si>
  <si>
    <t>SELECT @COURSE_HUM_1020  = CourseID FROM Bellini.Course WHERE CoursePrefix = 'HUM' AND CourseNumber = '1020';</t>
  </si>
  <si>
    <t>SELECT @COURSE_INR_3033  = CourseID FROM Bellini.Course WHERE CoursePrefix = 'INR' AND CourseNumber = '3033';</t>
  </si>
  <si>
    <t>SELECT @COURSE_ISM_3011  = CourseID FROM Bellini.Course WHERE CoursePrefix = 'ISM' AND CourseNumber = '3011';</t>
  </si>
  <si>
    <t>SELECT @COURSE_ISM_4041  = CourseID FROM Bellini.Course WHERE CoursePrefix = 'ISM' AND CourseNumber = '4041';</t>
  </si>
  <si>
    <t>SELECT @COURSE_ISM_4323  = CourseID FROM Bellini.Course WHERE CoursePrefix = 'ISM' AND CourseNumber = '4323';</t>
  </si>
  <si>
    <t>SELECT @COURSE_LIS_4414  = CourseID FROM Bellini.Course WHERE CoursePrefix = 'LIS' AND CourseNumber = '4414';</t>
  </si>
  <si>
    <t>SELECT @COURSE_LIS_4779  = CourseID FROM Bellini.Course WHERE CoursePrefix = 'LIS' AND CourseNumber = '4779';</t>
  </si>
  <si>
    <t>SELECT @COURSE_LIT_2000  = CourseID FROM Bellini.Course WHERE CoursePrefix = 'LIT' AND CourseNumber = '2000';</t>
  </si>
  <si>
    <t>SELECT @COURSE_MAC_1105  = CourseID FROM Bellini.Course WHERE CoursePrefix = 'MAC' AND CourseNumber = '1105';</t>
  </si>
  <si>
    <t>SELECT @COURSE_MAC_1147  = CourseID FROM Bellini.Course WHERE CoursePrefix = 'MAC' AND CourseNumber = '1147';</t>
  </si>
  <si>
    <t>SELECT @COURSE_MAC_2281  = CourseID FROM Bellini.Course WHERE CoursePrefix = 'MAC' AND CourseNumber = '2281';</t>
  </si>
  <si>
    <t>SELECT @COURSE_MAC_2282  = CourseID FROM Bellini.Course WHERE CoursePrefix = 'MAC' AND CourseNumber = '2282';</t>
  </si>
  <si>
    <t>SELECT @COURSE_MAC_2283  = CourseID FROM Bellini.Course WHERE CoursePrefix = 'MAC' AND CourseNumber = '2283';</t>
  </si>
  <si>
    <t>SELECT @COURSE_MAC_2311  = CourseID FROM Bellini.Course WHERE CoursePrefix = 'MAC' AND CourseNumber = '2311';</t>
  </si>
  <si>
    <t>SELECT @COURSE_MAC_2312  = CourseID FROM Bellini.Course WHERE CoursePrefix = 'MAC' AND CourseNumber = '2312';</t>
  </si>
  <si>
    <t>SELECT @COURSE_MAC_2313  = CourseID FROM Bellini.Course WHERE CoursePrefix = 'MAC' AND CourseNumber = '2313';</t>
  </si>
  <si>
    <t>SELECT @COURSE_MAD_2104  = CourseID FROM Bellini.Course WHERE CoursePrefix = 'MAD' AND CourseNumber = '2104';</t>
  </si>
  <si>
    <t>SELECT @COURSE_MAP_2302  = CourseID FROM Bellini.Course WHERE CoursePrefix = 'MAP' AND CourseNumber = '2302';</t>
  </si>
  <si>
    <t>SELECT @COURSE_MAT_1033  = CourseID FROM Bellini.Course WHERE CoursePrefix = 'MAT' AND CourseNumber = '1033';</t>
  </si>
  <si>
    <t>SELECT @COURSE_MGF_1106  = CourseID FROM Bellini.Course WHERE CoursePrefix = 'MGF' AND CourseNumber = '1106';</t>
  </si>
  <si>
    <t>SELECT @COURSE_MGF_1107  = CourseID FROM Bellini.Course WHERE CoursePrefix = 'MGF' AND CourseNumber = '1107';</t>
  </si>
  <si>
    <t>SELECT @COURSE_MUL_2010  = CourseID FROM Bellini.Course WHERE CoursePrefix = 'MUL' AND CourseNumber = '2010';</t>
  </si>
  <si>
    <t>SELECT @COURSE_PHI_2010  = CourseID FROM Bellini.Course WHERE CoursePrefix = 'PHI' AND CourseNumber = '2010';</t>
  </si>
  <si>
    <t>SELECT @COURSE_PHY_2020  = CourseID FROM Bellini.Course WHERE CoursePrefix = 'PHY' AND CourseNumber = '2020';</t>
  </si>
  <si>
    <t>SELECT @COURSE_PHY_2048  = CourseID FROM Bellini.Course WHERE CoursePrefix = 'PHY' AND CourseNumber = '2048';</t>
  </si>
  <si>
    <t>SELECT @COURSE_PHY_2049  = CourseID FROM Bellini.Course WHERE CoursePrefix = 'PHY' AND CourseNumber = '2049';</t>
  </si>
  <si>
    <t>SELECT @COURSE_PHY_2053  = CourseID FROM Bellini.Course WHERE CoursePrefix = 'PHY' AND CourseNumber = '2053';</t>
  </si>
  <si>
    <t>SELECT @COURSE_PHY_2060  = CourseID FROM Bellini.Course WHERE CoursePrefix = 'PHY' AND CourseNumber = '2060';</t>
  </si>
  <si>
    <t>SELECT @COURSE_POS_2041  = CourseID FROM Bellini.Course WHERE CoursePrefix = 'POS' AND CourseNumber = '2041';</t>
  </si>
  <si>
    <t>SELECT @COURSE_PSY_2012  = CourseID FROM Bellini.Course WHERE CoursePrefix = 'PSY' AND CourseNumber = '2012';</t>
  </si>
  <si>
    <t>SELECT @COURSE_STA_2023  = CourseID FROM Bellini.Course WHERE CoursePrefix = 'STA' AND CourseNumber = '2023';</t>
  </si>
  <si>
    <t>SELECT @COURSE_SYG_2000  = CourseID FROM Bellini.Course WHERE CoursePrefix = 'SYG' AND CourseNumber = '2000';</t>
  </si>
  <si>
    <t>SELECT @COURSE_THE_2000  = CourseID FROM Bellini.Course WHERE CoursePrefix = 'THE' AND CourseNumber = '2000';</t>
  </si>
  <si>
    <t>Chemistry I</t>
  </si>
  <si>
    <t>Chemistry I Lab</t>
  </si>
  <si>
    <t>Physics</t>
  </si>
  <si>
    <t>Groups</t>
  </si>
  <si>
    <t>Calc I</t>
  </si>
  <si>
    <t>Calc II</t>
  </si>
  <si>
    <t>Calc III</t>
  </si>
  <si>
    <t>Diff Eq</t>
  </si>
  <si>
    <t>All 16</t>
  </si>
  <si>
    <t>BSCP General</t>
  </si>
  <si>
    <t>BSCP 2022 Hardware Electives</t>
  </si>
  <si>
    <t>BSCP 2022 Electives</t>
  </si>
  <si>
    <t>Choose 7</t>
  </si>
  <si>
    <t>BSCS 2022 Electives</t>
  </si>
  <si>
    <t>Choose 3</t>
  </si>
  <si>
    <t>BSCYS 2022 Electives</t>
  </si>
  <si>
    <t>Choose 5</t>
  </si>
  <si>
    <t>BSIT 2022 Electives</t>
  </si>
  <si>
    <t>BSCP 2023 Hardware Electives</t>
  </si>
  <si>
    <t>BSCP 2023 Electives</t>
  </si>
  <si>
    <t>BSCS 2023 Software Electives</t>
  </si>
  <si>
    <t>BSCS 2023 Theory Eelectives</t>
  </si>
  <si>
    <t>BSCS 2023 Electives</t>
  </si>
  <si>
    <t>BSCYS 2023 Electives</t>
  </si>
  <si>
    <t>BSIT 2023 Electives</t>
  </si>
  <si>
    <t>BSCYS General</t>
  </si>
  <si>
    <t>BSIT General</t>
  </si>
  <si>
    <t>BSIT 2022 General Add-On</t>
  </si>
  <si>
    <t>BSIT 2023 General Add-On</t>
  </si>
  <si>
    <t>BSCS General</t>
  </si>
  <si>
    <t xml:space="preserve">    (@MAJOR_BSCP, @COURSE_CDA_3103,  @CATALOG_2022_2023, 'BSCP Core', 'C'),</t>
  </si>
  <si>
    <t xml:space="preserve">    (@MAJOR_BSCP, @COURSE_CDA_3201,  @CATALOG_2022_2023, 'BSCP Core', 'C'),</t>
  </si>
  <si>
    <t xml:space="preserve">    (@MAJOR_BSCP, @COURSE_CDA_3201L, @CATALOG_2022_2023, 'BSCP Core', 'C'),</t>
  </si>
  <si>
    <t xml:space="preserve">    (@MAJOR_BSCP, @COURSE_CDA_4203,  @CATALOG_2022_2023, 'BSCP Core', 'C'),</t>
  </si>
  <si>
    <t xml:space="preserve">    (@MAJOR_BSCP, @COURSE_CDA_4203L, @CATALOG_2022_2023, 'BSCP Core', 'C'),</t>
  </si>
  <si>
    <t xml:space="preserve">    (@MAJOR_BSCP, @COURSE_CDA_4205,  @CATALOG_2022_2023, 'BSCP Core', 'C'),</t>
  </si>
  <si>
    <t xml:space="preserve">    (@MAJOR_BSCP, @COURSE_CDA_4205L, @CATALOG_2022_2023, 'BSCP Core', 'C'),</t>
  </si>
  <si>
    <t xml:space="preserve">    (@MAJOR_BSCP, @COURSE_CDA_4213,  @CATALOG_2022_2023, 'BSCP Core', 'C'),</t>
  </si>
  <si>
    <t xml:space="preserve">    (@MAJOR_BSCP, @COURSE_CDA_4213L, @CATALOG_2022_2023, 'BSCP Core', 'C'),</t>
  </si>
  <si>
    <t xml:space="preserve">    (@MAJOR_BSCP, @COURSE_CIS_4250,  @CATALOG_2022_2023, 'BSCP Core', 'C'),</t>
  </si>
  <si>
    <t xml:space="preserve">    (@MAJOR_BSCP, @COURSE_CIS_4910,  @CATALOG_2022_2023, 'BSCP Core', 'C'),</t>
  </si>
  <si>
    <t xml:space="preserve">    (@MAJOR_BSCP, @COURSE_COP_2510,  @CATALOG_2022_2023, 'BSCP Core', 'C'),</t>
  </si>
  <si>
    <t xml:space="preserve">    (@MAJOR_BSCP, @COURSE_COP_3514,  @CATALOG_2022_2023, 'BSCP Core', 'C'),</t>
  </si>
  <si>
    <t xml:space="preserve">    (@MAJOR_BSCP, @COURSE_COP_4530,  @CATALOG_2022_2023, 'BSCP Core', 'C'),</t>
  </si>
  <si>
    <t xml:space="preserve">    (@MAJOR_BSCP, @COURSE_COP_4600,  @CATALOG_2022_2023, 'BSCP Core', 'C'),</t>
  </si>
  <si>
    <t xml:space="preserve">    (@MAJOR_BSCP, @COURSE_COT_3100,  @CATALOG_2022_2023, 'BSCP Core', 'C'),</t>
  </si>
  <si>
    <t xml:space="preserve">    (@MAJOR_BSCP, @COURSE_COT_4400,  @CATALOG_2022_2023, 'BSCP Core', 'C'),</t>
  </si>
  <si>
    <t xml:space="preserve">    (@MAJOR_BSCP, @COURSE_EEE_3394,  @CATALOG_2022_2023, 'BSCP Core', 'C'),</t>
  </si>
  <si>
    <t xml:space="preserve">    (@MAJOR_BSCP, @COURSE_EGN_3000,  @CATALOG_2022_2023, 'BSCP Core', 'C'),</t>
  </si>
  <si>
    <t xml:space="preserve">    (@MAJOR_BSCP, @COURSE_EGN_3000L, @CATALOG_2022_2023, 'BSCP Core', 'C'),</t>
  </si>
  <si>
    <t xml:space="preserve">    (@MAJOR_BSCP, @COURSE_EGN_3373,  @CATALOG_2022_2023, 'BSCP Core', 'C'),</t>
  </si>
  <si>
    <t xml:space="preserve">    (@MAJOR_BSCP, @COURSE_EGN_3443,  @CATALOG_2022_2023, 'BSCP Core', 'C'),</t>
  </si>
  <si>
    <t xml:space="preserve">    (@MAJOR_BSCP, @COURSE_EGN_3615,  @CATALOG_2022_2023, 'BSCP Core', 'C'),</t>
  </si>
  <si>
    <t xml:space="preserve">    (@MAJOR_BSCP, @COURSE_EGN_4450,  @CATALOG_2022_2023, 'BSCP Core', 'C'),</t>
  </si>
  <si>
    <t xml:space="preserve">    (@MAJOR_BSCP, @COURSE_ENC_1101,  @CATALOG_2022_2023, 'BSCP Core', 'C'),</t>
  </si>
  <si>
    <t xml:space="preserve">    (@MAJOR_BSCP, @COURSE_ENC_1102,  @CATALOG_2022_2023, 'BSCP Core', 'C'),</t>
  </si>
  <si>
    <t xml:space="preserve">    (@MAJOR_BSCP, @COURSE_ENC_3246,  @CATALOG_2022_2023, 'BSCP Core', 'C'),</t>
  </si>
  <si>
    <t xml:space="preserve">    (@MAJOR_BSCP, @COURSE_PHY_2048,  @CATALOG_2022_2023, 'BSCP Core', 'C'),</t>
  </si>
  <si>
    <t xml:space="preserve">    (@MAJOR_BSCP, @COURSE_PHY_2048L, @CATALOG_2022_2023, 'BSCP Core', 'C'),</t>
  </si>
  <si>
    <t xml:space="preserve">    (@MAJOR_BSCP, @COURSE_PHY_2049,  @CATALOG_2022_2023, 'BSCP Core', 'C'),</t>
  </si>
  <si>
    <t xml:space="preserve">    (@MAJOR_BSCP, @COURSE_PHY_2049L, @CATALOG_2022_2023, 'BSCP Core', 'C'),</t>
  </si>
  <si>
    <t xml:space="preserve">    (@MAJOR_BSCS, @COURSE_CDA_3103,  @CATALOG_2023_2024, 'BSCS Core', 'C'),</t>
  </si>
  <si>
    <t xml:space="preserve">    (@MAJOR_BSCS, @COURSE_CDA_3201,  @CATALOG_2023_2024, 'BSCS Core', 'C'),</t>
  </si>
  <si>
    <t xml:space="preserve">    (@MAJOR_BSCS, @COURSE_CDA_3201L, @CATALOG_2023_2024, 'BSCS Core', 'C'),</t>
  </si>
  <si>
    <t xml:space="preserve">    (@MAJOR_BSCS, @COURSE_CDA_4205,  @CATALOG_2023_2024, 'BSCS Core', 'C'),</t>
  </si>
  <si>
    <t xml:space="preserve">    (@MAJOR_BSCS, @COURSE_CDA_4205L, @CATALOG_2023_2024, 'BSCS Core', 'C'),</t>
  </si>
  <si>
    <t xml:space="preserve">    (@MAJOR_BSCS, @COURSE_CEN_4020,  @CATALOG_2023_2024, 'BSCS Core', 'C'),</t>
  </si>
  <si>
    <t xml:space="preserve">    (@MAJOR_BSCS, @COURSE_CIS_4250,  @CATALOG_2023_2024, 'BSCS Core', 'C'),</t>
  </si>
  <si>
    <t xml:space="preserve">    (@MAJOR_BSCS, @COURSE_CNT_4419,  @CATALOG_2023_2024, 'BSCS Core', 'C'),</t>
  </si>
  <si>
    <t xml:space="preserve">    (@MAJOR_BSCS, @COURSE_COP_2510,  @CATALOG_2023_2024, 'BSCS Core', 'C'),</t>
  </si>
  <si>
    <t xml:space="preserve">    (@MAJOR_BSCS, @COURSE_COP_3514,  @CATALOG_2023_2024, 'BSCS Core', 'C'),</t>
  </si>
  <si>
    <t xml:space="preserve">    (@MAJOR_BSCS, @COURSE_COP_4530,  @CATALOG_2023_2024, 'BSCS Core', 'C'),</t>
  </si>
  <si>
    <t xml:space="preserve">    (@MAJOR_BSCS, @COURSE_COP_4600,  @CATALOG_2023_2024, 'BSCS Core', 'C'),</t>
  </si>
  <si>
    <t xml:space="preserve">    (@MAJOR_BSCS, @COURSE_COT_3100,  @CATALOG_2023_2024, 'BSCS Core', 'C'),</t>
  </si>
  <si>
    <t xml:space="preserve">    (@MAJOR_BSCS, @COURSE_COT_4400,  @CATALOG_2023_2024, 'BSCS Core', 'C'),</t>
  </si>
  <si>
    <t xml:space="preserve">    (@MAJOR_BSCS, @COURSE_EGN_3000,  @CATALOG_2023_2024, 'BSCS Core', 'C'),</t>
  </si>
  <si>
    <t xml:space="preserve">    (@MAJOR_BSCS, @COURSE_EGN_3000L, @CATALOG_2023_2024, 'BSCS Core', 'C'),</t>
  </si>
  <si>
    <t xml:space="preserve">    (@MAJOR_BSCS, @COURSE_EGN_3443,  @CATALOG_2023_2024, 'BSCS Core', 'C'),</t>
  </si>
  <si>
    <t xml:space="preserve">    (@MAJOR_BSCS, @COURSE_EGN_4450,  @CATALOG_2023_2024, 'BSCS Core', 'C'),</t>
  </si>
  <si>
    <t xml:space="preserve">    (@MAJOR_BSCS, @COURSE_ENC_1101,  @CATALOG_2023_2024, 'BSCS Core', 'C'),</t>
  </si>
  <si>
    <t xml:space="preserve">    (@MAJOR_BSCS, @COURSE_ENC_1102,  @CATALOG_2023_2024, 'BSCS Core', 'C'),</t>
  </si>
  <si>
    <t xml:space="preserve">    (@MAJOR_BSCS, @COURSE_ENC_3246,  @CATALOG_2023_2024, 'BSCS Core', 'C'),</t>
  </si>
  <si>
    <t xml:space="preserve">    (@MAJOR_BSCS, @COURSE_PHY_2048,  @CATALOG_2023_2024, 'BSCS Core', 'C'),</t>
  </si>
  <si>
    <t xml:space="preserve">    (@MAJOR_BSCS, @COURSE_PHY_2048L, @CATALOG_2023_2024, 'BSCS Core', 'C'),</t>
  </si>
  <si>
    <t xml:space="preserve">    (@MAJOR_BSCS, @COURSE_PHY_2049,  @CATALOG_2023_2024, 'BSCS Core', 'C'),</t>
  </si>
  <si>
    <t xml:space="preserve">    (@MAJOR_BSCS, @COURSE_PHY_2049L, @CATALOG_2023_2024, 'BSCS Core', 'C'),</t>
  </si>
  <si>
    <t xml:space="preserve">    (@MAJOR_BSCyS, @COURSE_CEN_3722,  @CATALOG_2023_2024, 'BSCyS Core', 'C'),</t>
  </si>
  <si>
    <t xml:space="preserve">    (@MAJOR_BSCyS, @COURSE_CGS_1540,  @CATALOG_2023_2024, 'BSCyS Core', 'C'),</t>
  </si>
  <si>
    <t xml:space="preserve">    (@MAJOR_BSCyS, @COURSE_CGS_3303,  @CATALOG_2023_2024, 'BSCyS Core', 'C'),</t>
  </si>
  <si>
    <t xml:space="preserve">    (@MAJOR_BSCyS, @COURSE_CGS_3853,  @CATALOG_2023_2024, 'BSCyS Core', 'C'),</t>
  </si>
  <si>
    <t xml:space="preserve">    (@MAJOR_BSCyS, @COURSE_CIS_3213,  @CATALOG_2023_2024, 'BSCyS Core', 'C'),</t>
  </si>
  <si>
    <t xml:space="preserve">    (@MAJOR_BSCyS, @COURSE_CIS_3363,  @CATALOG_2023_2024, 'BSCyS Core', 'C'),</t>
  </si>
  <si>
    <t xml:space="preserve">    (@MAJOR_BSCyS, @COURSE_CIS_4200,  @CATALOG_2023_2024, 'BSCyS Core', 'C'),</t>
  </si>
  <si>
    <t xml:space="preserve">    (@MAJOR_BSCyS, @COURSE_CIS_4219,  @CATALOG_2023_2024, 'BSCyS Core', 'C'),</t>
  </si>
  <si>
    <t xml:space="preserve">    (@MAJOR_BSCyS, @COURSE_CIS_4622,  @CATALOG_2023_2024, 'BSCyS Core', 'C'),</t>
  </si>
  <si>
    <t xml:space="preserve">    (@MAJOR_BSCyS, @COURSE_CIS_4935,  @CATALOG_2023_2024, 'BSCyS Core', 'C'),</t>
  </si>
  <si>
    <t xml:space="preserve">    (@MAJOR_BSCyS, @COURSE_CNT_4104,  @CATALOG_2023_2024, 'BSCyS Core', 'C'),</t>
  </si>
  <si>
    <t xml:space="preserve">    (@MAJOR_BSCyS, @COURSE_CNT_4104L, @CATALOG_2023_2024, 'BSCyS Core', 'C'),</t>
  </si>
  <si>
    <t xml:space="preserve">    (@MAJOR_BSCyS, @COURSE_CNT_4403,  @CATALOG_2023_2024, 'BSCyS Core', 'C'),</t>
  </si>
  <si>
    <t xml:space="preserve">    (@MAJOR_BSCyS, @COURSE_COP_2512,  @CATALOG_2023_2024, 'BSCyS Core', 'C'),</t>
  </si>
  <si>
    <t xml:space="preserve">    (@MAJOR_BSCyS, @COURSE_COP_2513,  @CATALOG_2023_2024, 'BSCyS Core', 'C'),</t>
  </si>
  <si>
    <t xml:space="preserve">    (@MAJOR_BSCyS, @COURSE_COP_3515,  @CATALOG_2023_2024, 'BSCyS Core', 'C'),</t>
  </si>
  <si>
    <t xml:space="preserve">    (@MAJOR_BSCyS, @COURSE_COP_4538,  @CATALOG_2023_2024, 'BSCyS Core', 'C'),</t>
  </si>
  <si>
    <t xml:space="preserve">    (@MAJOR_BSCyS, @COURSE_COP_4703,  @CATALOG_2023_2024, 'BSCyS Core', 'C'),</t>
  </si>
  <si>
    <t xml:space="preserve">    (@MAJOR_BSCyS, @COURSE_ECO_2013,  @CATALOG_2023_2024, 'BSCyS Core', 'C'),</t>
  </si>
  <si>
    <t xml:space="preserve">    (@MAJOR_BSCyS, @COURSE_EGN_3000,  @CATALOG_2023_2024, 'BSCyS Core', 'C'),</t>
  </si>
  <si>
    <t xml:space="preserve">    (@MAJOR_BSCyS, @COURSE_EGN_3000L, @CATALOG_2023_2024, 'BSCyS Core', 'C'),</t>
  </si>
  <si>
    <t xml:space="preserve">    (@MAJOR_BSCyS, @COURSE_ENC_1101,  @CATALOG_2023_2024, 'BSCyS Core', 'C'),</t>
  </si>
  <si>
    <t xml:space="preserve">    (@MAJOR_BSCyS, @COURSE_ENC_1102,  @CATALOG_2023_2024, 'BSCyS Core', 'C'),</t>
  </si>
  <si>
    <t xml:space="preserve">    (@MAJOR_BSCyS, @COURSE_ENC_3246,  @CATALOG_2023_2024, 'BSCyS Core', 'C'),</t>
  </si>
  <si>
    <t xml:space="preserve">    (@MAJOR_BSCyS, @COURSE_ISM_4323,  @CATALOG_2023_2024, 'BSCyS Core', 'C'),</t>
  </si>
  <si>
    <t xml:space="preserve">    (@MAJOR_BSCyS, @COURSE_LIS_4414,  @CATALOG_2023_2024, 'BSCyS Core', 'C'),</t>
  </si>
  <si>
    <t xml:space="preserve">    (@MAJOR_BSCyS, @COURSE_MAC_1147,  @CATALOG_2023_2024, 'BSCyS Core', 'C'),</t>
  </si>
  <si>
    <t xml:space="preserve">    (@MAJOR_BSCyS, @COURSE_MAD_2104,  @CATALOG_2023_2024, 'BSCyS Core', 'C'),</t>
  </si>
  <si>
    <t xml:space="preserve">    (@MAJOR_BSCyS, @COURSE_Nat_ral S,  @CATALOG_2023_2024, 'BSCyS Core', 'C'),</t>
  </si>
  <si>
    <t xml:space="preserve">    (@MAJOR_BSCyS, @COURSE_PHY_2020,  @CATALOG_2023_2024, 'BSCyS Core', 'C'),</t>
  </si>
  <si>
    <t xml:space="preserve">    (@MAJOR_BSCyS, @COURSE_PSY_2012,  @CATALOG_2023_2024, 'BSCyS Core', 'C'),</t>
  </si>
  <si>
    <t xml:space="preserve">    (@MAJOR_BSCyS, @COURSE_STA_2023,  @CATALOG_2023_2024, 'BSCyS Core', 'C'),</t>
  </si>
  <si>
    <t xml:space="preserve">    (@MAJOR_BSIT, @COURSE_CEN_3722,  @CATALOG_2023_2024, 'BSIT Core', 'C'),</t>
  </si>
  <si>
    <t xml:space="preserve">    (@MAJOR_BSIT, @COURSE_CGS_1540,  @CATALOG_2023_2024, 'BSIT Core', 'C'),</t>
  </si>
  <si>
    <t xml:space="preserve">    (@MAJOR_BSIT, @COURSE_CGS_3303,  @CATALOG_2023_2024, 'BSIT Core', 'C'),</t>
  </si>
  <si>
    <t xml:space="preserve">    (@MAJOR_BSIT, @COURSE_CGS_3853,  @CATALOG_2023_2024, 'BSIT Core', 'C'),</t>
  </si>
  <si>
    <t xml:space="preserve">    (@MAJOR_BSIT, @COURSE_CIS_3213,  @CATALOG_2023_2024, 'BSIT Core', 'C'),</t>
  </si>
  <si>
    <t xml:space="preserve">    (@MAJOR_BSIT, @COURSE_CIS_3433,  @CATALOG_2023_2024, 'BSIT Core', 'C'),</t>
  </si>
  <si>
    <t xml:space="preserve">    (@MAJOR_BSIT, @COURSE_CIS_4083,  @CATALOG_2023_2024, 'BSIT Core', 'C'),</t>
  </si>
  <si>
    <t xml:space="preserve">    (@MAJOR_BSIT, @COURSE_CIS_4935,  @CATALOG_2023_2024, 'BSIT Core', 'C'),</t>
  </si>
  <si>
    <t xml:space="preserve">    (@MAJOR_BSIT, @COURSE_CNT_4104,  @CATALOG_2023_2024, 'BSIT Core', 'C'),</t>
  </si>
  <si>
    <t xml:space="preserve">    (@MAJOR_BSIT, @COURSE_CNT_4104L, @CATALOG_2023_2024, 'BSIT Core', 'C'),</t>
  </si>
  <si>
    <t xml:space="preserve">    (@MAJOR_BSIT, @COURSE_CNT_4603,  @CATALOG_2023_2024, 'BSIT Core', 'C'),</t>
  </si>
  <si>
    <t xml:space="preserve">    (@MAJOR_BSIT, @COURSE_COP_2512,  @CATALOG_2023_2024, 'BSIT Core', 'C'),</t>
  </si>
  <si>
    <t xml:space="preserve">    (@MAJOR_BSIT, @COURSE_COP_2513,  @CATALOG_2023_2024, 'BSIT Core', 'C'),</t>
  </si>
  <si>
    <t xml:space="preserve">    (@MAJOR_BSIT, @COURSE_COP_3515,  @CATALOG_2023_2024, 'BSIT Core', 'C'),</t>
  </si>
  <si>
    <t xml:space="preserve">    (@MAJOR_BSIT, @COURSE_COP_4538,  @CATALOG_2023_2024, 'BSIT Core', 'C'),</t>
  </si>
  <si>
    <t xml:space="preserve">    (@MAJOR_BSIT, @COURSE_COP_4703,  @CATALOG_2023_2024, 'BSIT Core', 'C'),</t>
  </si>
  <si>
    <t xml:space="preserve">    (@MAJOR_BSIT, @COURSE_ECO_2013,  @CATALOG_2023_2024, 'BSIT Core', 'C'),</t>
  </si>
  <si>
    <t xml:space="preserve">    (@MAJOR_BSIT, @COURSE_EGN_3000,  @CATALOG_2023_2024, 'BSIT Core', 'C'),</t>
  </si>
  <si>
    <t xml:space="preserve">    (@MAJOR_BSIT, @COURSE_EGN_3000L, @CATALOG_2023_2024, 'BSIT Core', 'C'),</t>
  </si>
  <si>
    <t xml:space="preserve">    (@MAJOR_BSIT, @COURSE_ENC_1101,  @CATALOG_2023_2024, 'BSIT Core', 'C'),</t>
  </si>
  <si>
    <t xml:space="preserve">    (@MAJOR_BSIT, @COURSE_ENC_1102,  @CATALOG_2023_2024, 'BSIT Core', 'C'),</t>
  </si>
  <si>
    <t xml:space="preserve">    (@MAJOR_BSIT, @COURSE_ENC_3246,  @CATALOG_2023_2024, 'BSIT Core', 'C'),</t>
  </si>
  <si>
    <t xml:space="preserve">    (@MAJOR_BSIT, @COURSE_INR_3033,  @CATALOG_2023_2024, 'BSIT Core', 'C'),</t>
  </si>
  <si>
    <t xml:space="preserve">    (@MAJOR_BSIT, @COURSE_MAC_1147,  @CATALOG_2023_2024, 'BSIT Core', 'C'),</t>
  </si>
  <si>
    <t xml:space="preserve">    (@MAJOR_BSIT, @COURSE_MAD_2104,  @CATALOG_2023_2024, 'BSIT Core', 'C'),</t>
  </si>
  <si>
    <t xml:space="preserve">    (@MAJOR_BSIT, @COURSE_Nat_ral S,  @CATALOG_2023_2024, 'BSIT Core', 'C'),</t>
  </si>
  <si>
    <t xml:space="preserve">    (@MAJOR_BSIT, @COURSE_PHY_2020,  @CATALOG_2023_2024, 'BSIT Core', 'C'),</t>
  </si>
  <si>
    <t xml:space="preserve">    (@MAJOR_BSIT, @COURSE_PSY_2012,  @CATALOG_2023_2024, 'BSIT Core', 'C'),</t>
  </si>
  <si>
    <t xml:space="preserve">    (@MAJOR_BSIT, @COURSE_STA_2023,  @CATALOG_2023_2024, 'BSIT Core', 'C'),</t>
  </si>
  <si>
    <t>Name</t>
  </si>
  <si>
    <t>Code</t>
  </si>
  <si>
    <t>Required</t>
  </si>
  <si>
    <t>Major</t>
  </si>
  <si>
    <t>Year</t>
  </si>
  <si>
    <t>ELECTIVES</t>
  </si>
  <si>
    <t>BSCP</t>
  </si>
  <si>
    <t>General Education Core Humanities</t>
  </si>
  <si>
    <t>SELECT @GROUP_BSCP_2022_2023_GECH = RequirementGroupID FROM Bellini.RequirementGroup WHERE MajorID = @MAJOR_BSCP AND CatalogID = @CATALOG_2022_2023 AND GroupCode = 'GROUP_BSCP_GECH';</t>
  </si>
  <si>
    <t>HARDWARE_ELECTIVES</t>
  </si>
  <si>
    <t>General Education Core Mathematics</t>
  </si>
  <si>
    <t>General Education Core Natural Sciences Elective</t>
  </si>
  <si>
    <t>General Education Core Social Sciences</t>
  </si>
  <si>
    <t>GENERAL</t>
  </si>
  <si>
    <t>SOFTWARE_ELECTIVES</t>
  </si>
  <si>
    <t>THEORY_ELECTIVES</t>
  </si>
  <si>
    <t>GENERAL_ADDON</t>
  </si>
  <si>
    <t>CALC_1</t>
  </si>
  <si>
    <t>CALC_2</t>
  </si>
  <si>
    <t>CALC_3</t>
  </si>
  <si>
    <t>CHEM_1</t>
  </si>
  <si>
    <t>CHEM_1_LAB</t>
  </si>
  <si>
    <t>DIFF_EQ</t>
  </si>
  <si>
    <t>General Education Core Add-On</t>
  </si>
  <si>
    <t>GE_ADDON</t>
  </si>
  <si>
    <t>GECH</t>
  </si>
  <si>
    <t>GECM</t>
  </si>
  <si>
    <t>GECN</t>
  </si>
  <si>
    <t>GECS</t>
  </si>
  <si>
    <t>BSCS</t>
  </si>
  <si>
    <t>BSCYS</t>
  </si>
  <si>
    <t>BSIT</t>
  </si>
  <si>
    <t xml:space="preserve">    @GROUP_BSCP_2022_2023_GECH</t>
  </si>
  <si>
    <t xml:space="preserve">    @GROUP_BSCP_2022_2023_GECM</t>
  </si>
  <si>
    <t xml:space="preserve">    @GROUP_BSCP_2022_2023_GECN</t>
  </si>
  <si>
    <t xml:space="preserve">    @GROUP_BSCP_2022_2023_GECS</t>
  </si>
  <si>
    <t xml:space="preserve">    @GROUP_BSCP_2022_2023_CALC_1</t>
  </si>
  <si>
    <t xml:space="preserve">    @GROUP_BSCP_2022_2023_CALC_2</t>
  </si>
  <si>
    <t xml:space="preserve">    @GROUP_BSCP_2022_2023_CALC_3</t>
  </si>
  <si>
    <t xml:space="preserve">    @GROUP_BSCP_2022_2023_DIFF_EQ</t>
  </si>
  <si>
    <t xml:space="preserve">    @GROUP_BSCP_2022_2023_CHEM_1</t>
  </si>
  <si>
    <t xml:space="preserve">    @GROUP_BSCP_2022_2023_CHEM_1_LAB</t>
  </si>
  <si>
    <t xml:space="preserve">    @GROUP_BSCP_2022_2023_GENERAL</t>
  </si>
  <si>
    <t xml:space="preserve">    @GROUP_BSCP_2022_2023_HARDWARE_ELECTIVES</t>
  </si>
  <si>
    <t xml:space="preserve">    @GROUP_BSCP_2022_2023_ELECTIVES</t>
  </si>
  <si>
    <t xml:space="preserve">    @GROUP_BSCP_2023_2024_GECH</t>
  </si>
  <si>
    <t xml:space="preserve">    @GROUP_BSCP_2023_2024_GECM</t>
  </si>
  <si>
    <t xml:space="preserve">    @GROUP_BSCP_2023_2024_GECN</t>
  </si>
  <si>
    <t xml:space="preserve">    @GROUP_BSCP_2023_2024_GECS</t>
  </si>
  <si>
    <t xml:space="preserve">    @GROUP_BSCP_2023_2024_CALC_1</t>
  </si>
  <si>
    <t xml:space="preserve">    @GROUP_BSCP_2023_2024_CALC_2</t>
  </si>
  <si>
    <t xml:space="preserve">    @GROUP_BSCP_2023_2024_CALC_3</t>
  </si>
  <si>
    <t xml:space="preserve">    @GROUP_BSCP_2023_2024_DIFF_EQ</t>
  </si>
  <si>
    <t xml:space="preserve">    @GROUP_BSCP_2023_2024_CHEM_1</t>
  </si>
  <si>
    <t xml:space="preserve">    @GROUP_BSCP_2023_2024_CHEM_1_LAB</t>
  </si>
  <si>
    <t xml:space="preserve">    @GROUP_BSCP_2023_2024_GENERAL</t>
  </si>
  <si>
    <t xml:space="preserve">    @GROUP_BSCP_2023_2024_HARDWARE_ELECTIVES</t>
  </si>
  <si>
    <t xml:space="preserve">    @GROUP_BSCP_2023_2024_ELECTIVES</t>
  </si>
  <si>
    <t xml:space="preserve">    @GROUP_BSCS_2022_2023_GECH</t>
  </si>
  <si>
    <t xml:space="preserve">    @GROUP_BSCS_2022_2023_GECM</t>
  </si>
  <si>
    <t xml:space="preserve">    @GROUP_BSCS_2022_2023_GECN</t>
  </si>
  <si>
    <t xml:space="preserve">    @GROUP_BSCS_2022_2023_GECS</t>
  </si>
  <si>
    <t xml:space="preserve">    @GROUP_BSCS_2022_2023_CALC_1</t>
  </si>
  <si>
    <t xml:space="preserve">    @GROUP_BSCS_2022_2023_CALC_2</t>
  </si>
  <si>
    <t xml:space="preserve">    @GROUP_BSCS_2022_2023_CALC_3</t>
  </si>
  <si>
    <t xml:space="preserve">    @GROUP_BSCS_2022_2023_GENERAL</t>
  </si>
  <si>
    <t xml:space="preserve">    @GROUP_BSCS_2022_2023_ELECTIVES</t>
  </si>
  <si>
    <t xml:space="preserve">    @GROUP_BSCS_2023_2024_GECH</t>
  </si>
  <si>
    <t xml:space="preserve">    @GROUP_BSCS_2023_2024_GECM</t>
  </si>
  <si>
    <t xml:space="preserve">    @GROUP_BSCS_2023_2024_GECN</t>
  </si>
  <si>
    <t xml:space="preserve">    @GROUP_BSCS_2023_2024_GECS</t>
  </si>
  <si>
    <t xml:space="preserve">    @GROUP_BSCS_2023_2024_CALC_1</t>
  </si>
  <si>
    <t xml:space="preserve">    @GROUP_BSCS_2023_2024_CALC_2</t>
  </si>
  <si>
    <t xml:space="preserve">    @GROUP_BSCS_2023_2024_CALC_3</t>
  </si>
  <si>
    <t xml:space="preserve">    @GROUP_BSCS_2023_2024_GENERAL</t>
  </si>
  <si>
    <t xml:space="preserve">    @GROUP_BSCS_2023_2024_SOFTWARE_ELECTIVES</t>
  </si>
  <si>
    <t xml:space="preserve">    @GROUP_BSCS_2023_2024_THEORY_ELECTIVES</t>
  </si>
  <si>
    <t xml:space="preserve">    @GROUP_BSCS_2023_2024_ELECTIVES</t>
  </si>
  <si>
    <t xml:space="preserve">    @GROUP_BSCYS_2022_2023_GECH</t>
  </si>
  <si>
    <t xml:space="preserve">    @GROUP_BSCYS_2022_2023_GECM</t>
  </si>
  <si>
    <t xml:space="preserve">    @GROUP_BSCYS_2022_2023_GECN</t>
  </si>
  <si>
    <t xml:space="preserve">    @GROUP_BSCYS_2022_2023_GECS</t>
  </si>
  <si>
    <t xml:space="preserve">    @GROUP_BSCYS_2022_2023_GENERAL</t>
  </si>
  <si>
    <t xml:space="preserve">    @GROUP_BSCYS_2022_2023_ELECTIVES</t>
  </si>
  <si>
    <t xml:space="preserve">    @GROUP_BSCYS_2023_2024_GECH</t>
  </si>
  <si>
    <t xml:space="preserve">    @GROUP_BSCYS_2023_2024_GECM</t>
  </si>
  <si>
    <t xml:space="preserve">    @GROUP_BSCYS_2023_2024_GECN</t>
  </si>
  <si>
    <t xml:space="preserve">    @GROUP_BSCYS_2023_2024_GECS</t>
  </si>
  <si>
    <t xml:space="preserve">    @GROUP_BSCYS_2023_2024_GENERAL</t>
  </si>
  <si>
    <t xml:space="preserve">    @GROUP_BSCYS_2023_2024_ELECTIVES</t>
  </si>
  <si>
    <t xml:space="preserve">    @GROUP_BSIT_2022_2023_GECH</t>
  </si>
  <si>
    <t xml:space="preserve">    @GROUP_BSIT_2022_2023_GECM</t>
  </si>
  <si>
    <t xml:space="preserve">    @GROUP_BSIT_2022_2023_GECN</t>
  </si>
  <si>
    <t xml:space="preserve">    @GROUP_BSIT_2022_2023_GECS</t>
  </si>
  <si>
    <t xml:space="preserve">    @GROUP_BSIT_2022_2023_GENERAL</t>
  </si>
  <si>
    <t xml:space="preserve">    @GROUP_BSIT_2022_2023_GENERAL_ADDON</t>
  </si>
  <si>
    <t xml:space="preserve">    @GROUP_BSIT_2022_2023_ELECTIVES</t>
  </si>
  <si>
    <t xml:space="preserve">    @GROUP_BSIT_2023_2024_GECH</t>
  </si>
  <si>
    <t xml:space="preserve">    @GROUP_BSIT_2023_2024_GECM</t>
  </si>
  <si>
    <t xml:space="preserve">    @GROUP_BSIT_2023_2024_GECN</t>
  </si>
  <si>
    <t xml:space="preserve">    @GROUP_BSIT_2023_2024_GECS</t>
  </si>
  <si>
    <t xml:space="preserve">    @GROUP_BSIT_2023_2024_GENERAL</t>
  </si>
  <si>
    <t xml:space="preserve">    @GROUP_BSIT_2023_2024_GENERAL_ADDON</t>
  </si>
  <si>
    <t xml:space="preserve">    @GROUP_BSIT_2023_2024_ELECTIVES</t>
  </si>
  <si>
    <t>ARH 2000</t>
  </si>
  <si>
    <t>HUM 1020</t>
  </si>
  <si>
    <t>LIT 2000</t>
  </si>
  <si>
    <t>MUL 2010</t>
  </si>
  <si>
    <t>PHI 2010</t>
  </si>
  <si>
    <t>THE 2000</t>
  </si>
  <si>
    <t>AMH 2020</t>
  </si>
  <si>
    <t>ANT 2000</t>
  </si>
  <si>
    <t>POS 2041</t>
  </si>
  <si>
    <t>SYG 2000</t>
  </si>
  <si>
    <t xml:space="preserve">    (@GROUP_BSCP_2022_2023_GECH, @COURSE_ARH_2000),</t>
  </si>
  <si>
    <t xml:space="preserve">    (@GROUP_BSCP_2022_2023_GECS, @COURSE_AMH_2020),</t>
  </si>
  <si>
    <t xml:space="preserve">    (@GROUP_BSCP_2022_2023_CALC_1, @COURSE_MAC_2281),</t>
  </si>
  <si>
    <t xml:space="preserve">    (@GROUP_BSCP_2022_2023_CALC_2, @COURSE_MAC_2282),</t>
  </si>
  <si>
    <t xml:space="preserve">    (@GROUP_BSCP_2022_2023_CALC_3, @COURSE_MAC_2283),</t>
  </si>
  <si>
    <t xml:space="preserve">    (@GROUP_BSCP_2022_2023_DIFF_EQ, @COURSE_MAP_2302),</t>
  </si>
  <si>
    <t xml:space="preserve">    (@GROUP_BSCP_2022_2023_CHEM_1, @COURSE_CHM_2045),</t>
  </si>
  <si>
    <t xml:space="preserve">    (@GROUP_BSCP_2022_2023_CHEM_1_LAB, @COURSE_CHM_2045L),</t>
  </si>
  <si>
    <t xml:space="preserve">    (@GROUP_BSCP_2022_2023_HARDWARE_ELECTIVES, @COURSE_CDA_4253),</t>
  </si>
  <si>
    <t xml:space="preserve">    (@GROUP_BSCP_2022_2023_ELECTIVES, @COURSE_CAP_4034),</t>
  </si>
  <si>
    <t/>
  </si>
  <si>
    <t xml:space="preserve">    (@GROUP_BSCP_2023_2024_GECH, @COURSE_ARH_2000),</t>
  </si>
  <si>
    <t xml:space="preserve">    (@GROUP_BSCP_2023_2024_GECS, @COURSE_AMH_2020),</t>
  </si>
  <si>
    <t xml:space="preserve">    (@GROUP_BSCP_2023_2024_CALC_1, @COURSE_MAC_2281),</t>
  </si>
  <si>
    <t xml:space="preserve">    (@GROUP_BSCP_2023_2024_CALC_2, @COURSE_MAC_2282),</t>
  </si>
  <si>
    <t xml:space="preserve">    (@GROUP_BSCP_2023_2024_CALC_3, @COURSE_MAC_2283),</t>
  </si>
  <si>
    <t xml:space="preserve">    (@GROUP_BSCP_2023_2024_DIFF_EQ, @COURSE_MAP_2302),</t>
  </si>
  <si>
    <t xml:space="preserve">    (@GROUP_BSCP_2023_2024_CHEM_1, @COURSE_CHM_2045),</t>
  </si>
  <si>
    <t xml:space="preserve">    (@GROUP_BSCP_2023_2024_CHEM_1_LAB, @COURSE_CHM_2045L),</t>
  </si>
  <si>
    <t xml:space="preserve">    (@GROUP_BSCP_2023_2024_HARDWARE_ELECTIVES, @COURSE_CDA_4253),</t>
  </si>
  <si>
    <t xml:space="preserve">    (@GROUP_BSCP_2023_2024_ELECTIVES, @COURSE_CAP_4034),</t>
  </si>
  <si>
    <t xml:space="preserve">    (@GROUP_BSCS_2022_2023_GECH, @COURSE_ARH_2000),</t>
  </si>
  <si>
    <t xml:space="preserve">    (@GROUP_BSCS_2022_2023_GECS, @COURSE_AMH_2020),</t>
  </si>
  <si>
    <t xml:space="preserve">    (@GROUP_BSCS_2022_2023_CALC_1, @COURSE_MAC_2281),</t>
  </si>
  <si>
    <t xml:space="preserve">    (@GROUP_BSCS_2022_2023_CALC_2, @COURSE_MAC_2282),</t>
  </si>
  <si>
    <t xml:space="preserve">    (@GROUP_BSCS_2022_2023_CALC_3, @COURSE_MAC_2283),</t>
  </si>
  <si>
    <t xml:space="preserve">    (@GROUP_BSCS_2022_2023_ELECTIVES, @COURSE_CAP_4034),</t>
  </si>
  <si>
    <t xml:space="preserve">    (@GROUP_BSCS_2023_2024_GECH, @COURSE_ARH_2000),</t>
  </si>
  <si>
    <t xml:space="preserve">    (@GROUP_BSCS_2023_2024_GECS, @COURSE_AMH_2020),</t>
  </si>
  <si>
    <t xml:space="preserve">    (@GROUP_BSCS_2023_2024_CALC_1, @COURSE_MAC_2281),</t>
  </si>
  <si>
    <t xml:space="preserve">    (@GROUP_BSCS_2023_2024_CALC_2, @COURSE_MAC_2282),</t>
  </si>
  <si>
    <t xml:space="preserve">    (@GROUP_BSCS_2023_2024_CALC_3, @COURSE_MAC_2283),</t>
  </si>
  <si>
    <t xml:space="preserve">    (@GROUP_BSCS_2023_2024_SOFTWARE_ELECTIVES, @COURSE_CAP_4034),</t>
  </si>
  <si>
    <t xml:space="preserve">    (@GROUP_BSCS_2023_2024_THEORY_ELECTIVES, @COURSE_CIS_4212),</t>
  </si>
  <si>
    <t xml:space="preserve">    (@GROUP_BSCS_2023_2024_ELECTIVES, @COURSE_CAP_4034),</t>
  </si>
  <si>
    <t xml:space="preserve">    (@GROUP_BSCYS_2022_2023_GECH, @COURSE_ARH_2000),</t>
  </si>
  <si>
    <t xml:space="preserve">    (@GROUP_BSCYS_2022_2023_GECS, @COURSE_AMH_2020),</t>
  </si>
  <si>
    <t xml:space="preserve">    (@GROUP_BSCYS_2022_2023_ELECTIVES, @COURSE_CIS_3360),</t>
  </si>
  <si>
    <t xml:space="preserve">    (@GROUP_BSCYS_2023_2024_GECH, @COURSE_ARH_2000),</t>
  </si>
  <si>
    <t xml:space="preserve">    (@GROUP_BSCYS_2023_2024_GECS, @COURSE_AMH_2020),</t>
  </si>
  <si>
    <t xml:space="preserve">    (@GROUP_BSCYS_2023_2024_ELECTIVES, @COURSE_CAP_4136),</t>
  </si>
  <si>
    <t xml:space="preserve">    (@GROUP_BSIT_2022_2023_GECH, @COURSE_ARH_2000),</t>
  </si>
  <si>
    <t xml:space="preserve">    (@GROUP_BSIT_2022_2023_GECS, @COURSE_AMH_2020),</t>
  </si>
  <si>
    <t xml:space="preserve">    (@GROUP_BSIT_2022_2023_GENERAL_ADDON, @COURSE_CIS_4253),</t>
  </si>
  <si>
    <t xml:space="preserve">    (@GROUP_BSIT_2022_2023_ELECTIVES, @COURSE_CAP_4136),</t>
  </si>
  <si>
    <t xml:space="preserve">    (@GROUP_BSIT_2023_2024_GECH, @COURSE_ARH_2000),</t>
  </si>
  <si>
    <t xml:space="preserve">    (@GROUP_BSIT_2023_2024_GECS, @COURSE_AMH_2020),</t>
  </si>
  <si>
    <t xml:space="preserve">    (@GROUP_BSIT_2023_2024_ELECTIVES, @COURSE_CAP_4136),</t>
  </si>
  <si>
    <t xml:space="preserve">    (@GROUP_BSCP_2022_2023_GECH, @COURSE_HUM_1020),</t>
  </si>
  <si>
    <t xml:space="preserve">    (@GROUP_BSCP_2022_2023_GECS, @COURSE_ANT_2000),</t>
  </si>
  <si>
    <t xml:space="preserve">    (@GROUP_BSCP_2022_2023_CALC_1, @COURSE_MAC_2311),</t>
  </si>
  <si>
    <t xml:space="preserve">    (@GROUP_BSCP_2022_2023_CALC_2, @COURSE_MAC_2312),</t>
  </si>
  <si>
    <t xml:space="preserve">    (@GROUP_BSCP_2022_2023_CALC_3, @COURSE_MAC_2313),</t>
  </si>
  <si>
    <t xml:space="preserve">    (@GROUP_BSCP_2022_2023_DIFF_EQ, @COURSE_EGN_3433),</t>
  </si>
  <si>
    <t xml:space="preserve">    (@GROUP_BSCP_2022_2023_CHEM_1, @COURSE_CHS_2440),</t>
  </si>
  <si>
    <t xml:space="preserve">    (@GROUP_BSCP_2022_2023_CHEM_1_LAB, @COURSE_CHS_2440L),</t>
  </si>
  <si>
    <t xml:space="preserve">    (@GROUP_BSCP_2022_2023_HARDWARE_ELECTIVES, @COURSE_CDA_4322),</t>
  </si>
  <si>
    <t xml:space="preserve">    (@GROUP_BSCP_2022_2023_ELECTIVES, @COURSE_CAP_4063),</t>
  </si>
  <si>
    <t xml:space="preserve">    (@GROUP_BSCP_2023_2024_GECH, @COURSE_HUM_1020),</t>
  </si>
  <si>
    <t xml:space="preserve">    (@GROUP_BSCP_2023_2024_GECS, @COURSE_ANT_2000),</t>
  </si>
  <si>
    <t xml:space="preserve">    (@GROUP_BSCP_2023_2024_CALC_1, @COURSE_MAC_2311),</t>
  </si>
  <si>
    <t xml:space="preserve">    (@GROUP_BSCP_2023_2024_CALC_2, @COURSE_MAC_2312),</t>
  </si>
  <si>
    <t xml:space="preserve">    (@GROUP_BSCP_2023_2024_CALC_3, @COURSE_MAC_2313),</t>
  </si>
  <si>
    <t xml:space="preserve">    (@GROUP_BSCP_2023_2024_DIFF_EQ, @COURSE_EGN_3433),</t>
  </si>
  <si>
    <t xml:space="preserve">    (@GROUP_BSCP_2023_2024_CHEM_1, @COURSE_CHS_2440),</t>
  </si>
  <si>
    <t xml:space="preserve">    (@GROUP_BSCP_2023_2024_CHEM_1_LAB, @COURSE_CHS_2440L),</t>
  </si>
  <si>
    <t xml:space="preserve">    (@GROUP_BSCP_2023_2024_HARDWARE_ELECTIVES, @COURSE_CDA_4321),</t>
  </si>
  <si>
    <t xml:space="preserve">    (@GROUP_BSCP_2023_2024_ELECTIVES, @COURSE_CAP_4103),</t>
  </si>
  <si>
    <t xml:space="preserve">    (@GROUP_BSCS_2022_2023_GECH, @COURSE_HUM_1020),</t>
  </si>
  <si>
    <t xml:space="preserve">    (@GROUP_BSCS_2022_2023_GECS, @COURSE_ANT_2000),</t>
  </si>
  <si>
    <t xml:space="preserve">    (@GROUP_BSCS_2022_2023_CALC_1, @COURSE_MAC_2311),</t>
  </si>
  <si>
    <t xml:space="preserve">    (@GROUP_BSCS_2022_2023_CALC_2, @COURSE_MAC_2312),</t>
  </si>
  <si>
    <t xml:space="preserve">    (@GROUP_BSCS_2022_2023_CALC_3, @COURSE_MAC_2313),</t>
  </si>
  <si>
    <t xml:space="preserve">    (@GROUP_BSCS_2022_2023_ELECTIVES, @COURSE_CAP_4063),</t>
  </si>
  <si>
    <t xml:space="preserve">    (@GROUP_BSCS_2023_2024_GECH, @COURSE_HUM_1020),</t>
  </si>
  <si>
    <t xml:space="preserve">    (@GROUP_BSCS_2023_2024_GECS, @COURSE_ANT_2000),</t>
  </si>
  <si>
    <t xml:space="preserve">    (@GROUP_BSCS_2023_2024_CALC_1, @COURSE_MAC_2311),</t>
  </si>
  <si>
    <t xml:space="preserve">    (@GROUP_BSCS_2023_2024_CALC_2, @COURSE_MAC_2312),</t>
  </si>
  <si>
    <t xml:space="preserve">    (@GROUP_BSCS_2023_2024_CALC_3, @COURSE_MAC_2313),</t>
  </si>
  <si>
    <t xml:space="preserve">    (@GROUP_BSCS_2023_2024_SOFTWARE_ELECTIVES, @COURSE_CAP_4103),</t>
  </si>
  <si>
    <t xml:space="preserve">    (@GROUP_BSCS_2023_2024_THEORY_ELECTIVES, @COURSE_COT_4210),</t>
  </si>
  <si>
    <t xml:space="preserve">    (@GROUP_BSCS_2023_2024_ELECTIVES, @COURSE_CAP_4103),</t>
  </si>
  <si>
    <t xml:space="preserve">    (@GROUP_BSCYS_2022_2023_GECH, @COURSE_HUM_1020),</t>
  </si>
  <si>
    <t xml:space="preserve">    (@GROUP_BSCYS_2022_2023_GECS, @COURSE_ANT_2000),</t>
  </si>
  <si>
    <t xml:space="preserve">    (@GROUP_BSCYS_2022_2023_ELECTIVES, @COURSE_CIS_3362),</t>
  </si>
  <si>
    <t xml:space="preserve">    (@GROUP_BSCYS_2023_2024_GECH, @COURSE_HUM_1020),</t>
  </si>
  <si>
    <t xml:space="preserve">    (@GROUP_BSCYS_2023_2024_GECS, @COURSE_ANT_2000),</t>
  </si>
  <si>
    <t xml:space="preserve">    (@GROUP_BSCYS_2023_2024_ELECTIVES, @COURSE_CIS_4947),</t>
  </si>
  <si>
    <t xml:space="preserve">    (@GROUP_BSIT_2022_2023_GECH, @COURSE_HUM_1020),</t>
  </si>
  <si>
    <t xml:space="preserve">    (@GROUP_BSIT_2022_2023_GECS, @COURSE_ANT_2000),</t>
  </si>
  <si>
    <t xml:space="preserve">    (@GROUP_BSIT_2022_2023_ELECTIVES, @COURSE_CEN_4360),</t>
  </si>
  <si>
    <t xml:space="preserve">    (@GROUP_BSIT_2023_2024_GECH, @COURSE_HUM_1020),</t>
  </si>
  <si>
    <t xml:space="preserve">    (@GROUP_BSIT_2023_2024_GECS, @COURSE_ANT_2000),</t>
  </si>
  <si>
    <t xml:space="preserve">    (@GROUP_BSIT_2023_2024_GENERAL_ADDON, @COURSE_CIS_4253),</t>
  </si>
  <si>
    <t xml:space="preserve">    (@GROUP_BSIT_2023_2024_ELECTIVES, @COURSE_CIS_4947),</t>
  </si>
  <si>
    <t xml:space="preserve">    (@GROUP_BSCP_2022_2023_GECH, @COURSE_LIT_2000),</t>
  </si>
  <si>
    <t xml:space="preserve">    (@GROUP_BSCP_2022_2023_GECS, @COURSE_ECO_2013),</t>
  </si>
  <si>
    <t xml:space="preserve">    (@GROUP_BSCP_2022_2023_HARDWARE_ELECTIVES, @COURSE_CDA_4621),</t>
  </si>
  <si>
    <t xml:space="preserve">    (@GROUP_BSCP_2022_2023_ELECTIVES, @COURSE_CAP_4111),</t>
  </si>
  <si>
    <t xml:space="preserve">    (@GROUP_BSCP_2023_2024_GECH, @COURSE_LIT_2000),</t>
  </si>
  <si>
    <t xml:space="preserve">    (@GROUP_BSCP_2023_2024_GECS, @COURSE_ECO_2013),</t>
  </si>
  <si>
    <t xml:space="preserve">    (@GROUP_BSCP_2023_2024_HARDWARE_ELECTIVES, @COURSE_CDA_4322),</t>
  </si>
  <si>
    <t xml:space="preserve">    (@GROUP_BSCP_2023_2024_ELECTIVES, @COURSE_CAP_4111),</t>
  </si>
  <si>
    <t xml:space="preserve">    (@GROUP_BSCS_2022_2023_GECH, @COURSE_LIT_2000),</t>
  </si>
  <si>
    <t xml:space="preserve">    (@GROUP_BSCS_2022_2023_GECS, @COURSE_ECO_2013),</t>
  </si>
  <si>
    <t xml:space="preserve">    (@GROUP_BSCS_2022_2023_ELECTIVES, @COURSE_CAP_4111),</t>
  </si>
  <si>
    <t xml:space="preserve">    (@GROUP_BSCS_2023_2024_GECH, @COURSE_LIT_2000),</t>
  </si>
  <si>
    <t xml:space="preserve">    (@GROUP_BSCS_2023_2024_GECS, @COURSE_ECO_2013),</t>
  </si>
  <si>
    <t xml:space="preserve">    (@GROUP_BSCS_2023_2024_SOFTWARE_ELECTIVES, @COURSE_CAP_4111),</t>
  </si>
  <si>
    <t xml:space="preserve">    (@GROUP_BSCS_2023_2024_THEORY_ELECTIVES, @COURSE_COT_4521),</t>
  </si>
  <si>
    <t xml:space="preserve">    (@GROUP_BSCS_2023_2024_ELECTIVES, @COURSE_CAP_4111),</t>
  </si>
  <si>
    <t xml:space="preserve">    (@GROUP_BSCYS_2022_2023_GECH, @COURSE_LIT_2000),</t>
  </si>
  <si>
    <t xml:space="preserve">    (@GROUP_BSCYS_2022_2023_GECS, @COURSE_ECO_2013),</t>
  </si>
  <si>
    <t xml:space="preserve">    (@GROUP_BSCYS_2022_2023_ELECTIVES, @COURSE_CIS_4203),</t>
  </si>
  <si>
    <t xml:space="preserve">    (@GROUP_BSCYS_2023_2024_GECH, @COURSE_LIT_2000),</t>
  </si>
  <si>
    <t xml:space="preserve">    (@GROUP_BSCYS_2023_2024_GECS, @COURSE_ECO_2013),</t>
  </si>
  <si>
    <t xml:space="preserve">    (@GROUP_BSCYS_2023_2024_ELECTIVES, @COURSE_CNT_4716C),</t>
  </si>
  <si>
    <t xml:space="preserve">    (@GROUP_BSIT_2022_2023_GECH, @COURSE_LIT_2000),</t>
  </si>
  <si>
    <t xml:space="preserve">    (@GROUP_BSIT_2022_2023_GECS, @COURSE_ECO_2013),</t>
  </si>
  <si>
    <t xml:space="preserve">    (@GROUP_BSIT_2022_2023_ELECTIVES, @COURSE_CIS_4200),</t>
  </si>
  <si>
    <t xml:space="preserve">    (@GROUP_BSIT_2023_2024_GECH, @COURSE_LIT_2000),</t>
  </si>
  <si>
    <t xml:space="preserve">    (@GROUP_BSIT_2023_2024_GECS, @COURSE_ECO_2013),</t>
  </si>
  <si>
    <t xml:space="preserve">    (@GROUP_BSIT_2023_2024_GENERAL_ADDON, @COURSE_LIS_4414),</t>
  </si>
  <si>
    <t xml:space="preserve">    (@GROUP_BSIT_2023_2024_ELECTIVES, @COURSE_CNT_4716C),</t>
  </si>
  <si>
    <t xml:space="preserve">    (@GROUP_BSCP_2022_2023_GECH, @COURSE_MUL_2010),</t>
  </si>
  <si>
    <t xml:space="preserve">    (@GROUP_BSCP_2022_2023_GECS, @COURSE_POS_2041),</t>
  </si>
  <si>
    <t xml:space="preserve">    (@GROUP_BSCP_2022_2023_ELECTIVES, @COURSE_CAP_4401),</t>
  </si>
  <si>
    <t xml:space="preserve">    (@GROUP_BSCP_2023_2024_GECH, @COURSE_MUL_2010),</t>
  </si>
  <si>
    <t xml:space="preserve">    (@GROUP_BSCP_2023_2024_GECS, @COURSE_POS_2041),</t>
  </si>
  <si>
    <t xml:space="preserve">    (@GROUP_BSCP_2023_2024_HARDWARE_ELECTIVES, @COURSE_CDA_4621),</t>
  </si>
  <si>
    <t xml:space="preserve">    (@GROUP_BSCP_2023_2024_ELECTIVES, @COURSE_CAP_4160),</t>
  </si>
  <si>
    <t xml:space="preserve">    (@GROUP_BSCS_2022_2023_GECH, @COURSE_MUL_2010),</t>
  </si>
  <si>
    <t xml:space="preserve">    (@GROUP_BSCS_2022_2023_GECS, @COURSE_POS_2041),</t>
  </si>
  <si>
    <t xml:space="preserve">    (@GROUP_BSCS_2022_2023_ELECTIVES, @COURSE_CAP_4401),</t>
  </si>
  <si>
    <t xml:space="preserve">    (@GROUP_BSCS_2023_2024_GECH, @COURSE_MUL_2010),</t>
  </si>
  <si>
    <t xml:space="preserve">    (@GROUP_BSCS_2023_2024_GECS, @COURSE_POS_2041),</t>
  </si>
  <si>
    <t xml:space="preserve">    (@GROUP_BSCS_2023_2024_SOFTWARE_ELECTIVES, @COURSE_CAP_4160),</t>
  </si>
  <si>
    <t xml:space="preserve">    (@GROUP_BSCS_2023_2024_THEORY_ELECTIVES, @COURSE_COT_4601),</t>
  </si>
  <si>
    <t xml:space="preserve">    (@GROUP_BSCS_2023_2024_ELECTIVES, @COURSE_CAP_4160),</t>
  </si>
  <si>
    <t xml:space="preserve">    (@GROUP_BSCYS_2022_2023_GECH, @COURSE_MUL_2010),</t>
  </si>
  <si>
    <t xml:space="preserve">    (@GROUP_BSCYS_2022_2023_GECS, @COURSE_POS_2041),</t>
  </si>
  <si>
    <t xml:space="preserve">    (@GROUP_BSCYS_2022_2023_ELECTIVES, @COURSE_EDG_3801),</t>
  </si>
  <si>
    <t xml:space="preserve">    (@GROUP_BSCYS_2023_2024_GECH, @COURSE_MUL_2010),</t>
  </si>
  <si>
    <t xml:space="preserve">    (@GROUP_BSCYS_2023_2024_GECS, @COURSE_POS_2041),</t>
  </si>
  <si>
    <t xml:space="preserve">    (@GROUP_BSCYS_2023_2024_ELECTIVES, @COURSE_COP_4368),</t>
  </si>
  <si>
    <t xml:space="preserve">    (@GROUP_BSIT_2022_2023_GECH, @COURSE_MUL_2010),</t>
  </si>
  <si>
    <t xml:space="preserve">    (@GROUP_BSIT_2022_2023_GECS, @COURSE_POS_2041),</t>
  </si>
  <si>
    <t xml:space="preserve">    (@GROUP_BSIT_2022_2023_ELECTIVES, @COURSE_CIS_4361),</t>
  </si>
  <si>
    <t xml:space="preserve">    (@GROUP_BSIT_2023_2024_GECH, @COURSE_MUL_2010),</t>
  </si>
  <si>
    <t xml:space="preserve">    (@GROUP_BSIT_2023_2024_GECS, @COURSE_POS_2041),</t>
  </si>
  <si>
    <t xml:space="preserve">    (@GROUP_BSIT_2023_2024_ELECTIVES, @COURSE_COP_3353),</t>
  </si>
  <si>
    <t xml:space="preserve">    (@GROUP_BSCP_2022_2023_GECH, @COURSE_PHI_2010),</t>
  </si>
  <si>
    <t xml:space="preserve">    (@GROUP_BSCP_2022_2023_GECS, @COURSE_PSY_2012),</t>
  </si>
  <si>
    <t xml:space="preserve">    (@GROUP_BSCP_2022_2023_ELECTIVES, @COURSE_CAP_4410),</t>
  </si>
  <si>
    <t xml:space="preserve">    (@GROUP_BSCP_2023_2024_GECH, @COURSE_PHI_2010),</t>
  </si>
  <si>
    <t xml:space="preserve">    (@GROUP_BSCP_2023_2024_GECS, @COURSE_PSY_2012),</t>
  </si>
  <si>
    <t xml:space="preserve">    (@GROUP_BSCP_2023_2024_ELECTIVES, @COURSE_CAP_4401),</t>
  </si>
  <si>
    <t xml:space="preserve">    (@GROUP_BSCS_2022_2023_GECH, @COURSE_PHI_2010),</t>
  </si>
  <si>
    <t xml:space="preserve">    (@GROUP_BSCS_2022_2023_GECS, @COURSE_PSY_2012),</t>
  </si>
  <si>
    <t xml:space="preserve">    (@GROUP_BSCS_2022_2023_ELECTIVES, @COURSE_CAP_4410),</t>
  </si>
  <si>
    <t xml:space="preserve">    (@GROUP_BSCS_2023_2024_GECH, @COURSE_PHI_2010),</t>
  </si>
  <si>
    <t xml:space="preserve">    (@GROUP_BSCS_2023_2024_GECS, @COURSE_PSY_2012),</t>
  </si>
  <si>
    <t xml:space="preserve">    (@GROUP_BSCS_2023_2024_SOFTWARE_ELECTIVES, @COURSE_CAP_4401),</t>
  </si>
  <si>
    <t xml:space="preserve">    (@GROUP_BSCS_2023_2024_ELECTIVES, @COURSE_CAP_4401),</t>
  </si>
  <si>
    <t xml:space="preserve">    (@GROUP_BSCYS_2022_2023_GECH, @COURSE_PHI_2010),</t>
  </si>
  <si>
    <t xml:space="preserve">    (@GROUP_BSCYS_2022_2023_GECS, @COURSE_PSY_2012),</t>
  </si>
  <si>
    <t xml:space="preserve">    (@GROUP_BSCYS_2022_2023_ELECTIVES, @COURSE_ISM_4041),</t>
  </si>
  <si>
    <t xml:space="preserve">    (@GROUP_BSCYS_2023_2024_GECH, @COURSE_PHI_2010),</t>
  </si>
  <si>
    <t xml:space="preserve">    (@GROUP_BSCYS_2023_2024_GECS, @COURSE_PSY_2012),</t>
  </si>
  <si>
    <t xml:space="preserve">    (@GROUP_BSCYS_2023_2024_ELECTIVES, @COURSE_COP_4900),</t>
  </si>
  <si>
    <t xml:space="preserve">    (@GROUP_BSIT_2022_2023_GECH, @COURSE_PHI_2010),</t>
  </si>
  <si>
    <t xml:space="preserve">    (@GROUP_BSIT_2022_2023_GECS, @COURSE_PSY_2012),</t>
  </si>
  <si>
    <t xml:space="preserve">    (@GROUP_BSIT_2022_2023_ELECTIVES, @COURSE_CIS_4947),</t>
  </si>
  <si>
    <t xml:space="preserve">    (@GROUP_BSIT_2023_2024_GECH, @COURSE_PHI_2010),</t>
  </si>
  <si>
    <t xml:space="preserve">    (@GROUP_BSIT_2023_2024_GECS, @COURSE_PSY_2012),</t>
  </si>
  <si>
    <t xml:space="preserve">    (@GROUP_BSIT_2023_2024_ELECTIVES, @COURSE_COP_4883),</t>
  </si>
  <si>
    <t xml:space="preserve">    (@GROUP_BSCP_2022_2023_GECH, @COURSE_THE_2000),</t>
  </si>
  <si>
    <t xml:space="preserve">    (@GROUP_BSCP_2022_2023_GECS, @COURSE_SYG_2000),</t>
  </si>
  <si>
    <t xml:space="preserve">    (@GROUP_BSCP_2022_2023_ELECTIVES, @COURSE_CAP_4662),</t>
  </si>
  <si>
    <t xml:space="preserve">    (@GROUP_BSCP_2023_2024_GECH, @COURSE_THE_2000),</t>
  </si>
  <si>
    <t xml:space="preserve">    (@GROUP_BSCP_2023_2024_GECS, @COURSE_SYG_2000),</t>
  </si>
  <si>
    <t xml:space="preserve">    (@GROUP_BSCP_2023_2024_ELECTIVES, @COURSE_CAP_4410),</t>
  </si>
  <si>
    <t xml:space="preserve">    (@GROUP_BSCS_2022_2023_GECH, @COURSE_THE_2000),</t>
  </si>
  <si>
    <t xml:space="preserve">    (@GROUP_BSCS_2022_2023_GECS, @COURSE_SYG_2000),</t>
  </si>
  <si>
    <t xml:space="preserve">    (@GROUP_BSCS_2022_2023_ELECTIVES, @COURSE_CAP_4662),</t>
  </si>
  <si>
    <t xml:space="preserve">    (@GROUP_BSCS_2023_2024_GECH, @COURSE_THE_2000),</t>
  </si>
  <si>
    <t xml:space="preserve">    (@GROUP_BSCS_2023_2024_GECS, @COURSE_SYG_2000),</t>
  </si>
  <si>
    <t xml:space="preserve">    (@GROUP_BSCS_2023_2024_SOFTWARE_ELECTIVES, @COURSE_CAP_4410),</t>
  </si>
  <si>
    <t xml:space="preserve">    (@GROUP_BSCS_2023_2024_ELECTIVES, @COURSE_CAP_4410),</t>
  </si>
  <si>
    <t xml:space="preserve">    (@GROUP_BSCYS_2022_2023_GECH, @COURSE_THE_2000),</t>
  </si>
  <si>
    <t xml:space="preserve">    (@GROUP_BSCYS_2022_2023_GECS, @COURSE_SYG_2000),</t>
  </si>
  <si>
    <t xml:space="preserve">    (@GROUP_BSCYS_2022_2023_ELECTIVES, @COURSE_LIS_4779),</t>
  </si>
  <si>
    <t xml:space="preserve">    (@GROUP_BSCYS_2023_2024_GECH, @COURSE_THE_2000),</t>
  </si>
  <si>
    <t xml:space="preserve">    (@GROUP_BSCYS_2023_2024_GECS, @COURSE_SYG_2000),</t>
  </si>
  <si>
    <t xml:space="preserve">    (@GROUP_BSCYS_2023_2024_ELECTIVES, @COURSE_COP_4931),</t>
  </si>
  <si>
    <t xml:space="preserve">    (@GROUP_BSIT_2022_2023_GECH, @COURSE_THE_2000),</t>
  </si>
  <si>
    <t xml:space="preserve">    (@GROUP_BSIT_2022_2023_GECS, @COURSE_SYG_2000),</t>
  </si>
  <si>
    <t xml:space="preserve">    (@GROUP_BSIT_2022_2023_ELECTIVES, @COURSE_CNT_4403),</t>
  </si>
  <si>
    <t xml:space="preserve">    (@GROUP_BSIT_2023_2024_GECH, @COURSE_THE_2000),</t>
  </si>
  <si>
    <t xml:space="preserve">    (@GROUP_BSIT_2023_2024_GECS, @COURSE_SYG_2000),</t>
  </si>
  <si>
    <t xml:space="preserve">    (@GROUP_BSIT_2023_2024_ELECTIVES, @COURSE_COP_4900),</t>
  </si>
  <si>
    <t xml:space="preserve">    (@GROUP_BSCP_2022_2023_ELECTIVES, @COURSE_CDA_4253),</t>
  </si>
  <si>
    <t xml:space="preserve">    (@GROUP_BSCP_2023_2024_ELECTIVES, @COURSE_CAP_4621),</t>
  </si>
  <si>
    <t xml:space="preserve">    (@GROUP_BSCS_2022_2023_ELECTIVES, @COURSE_CDA_4203),</t>
  </si>
  <si>
    <t xml:space="preserve">    (@GROUP_BSCS_2023_2024_SOFTWARE_ELECTIVES, @COURSE_CAP_4621),</t>
  </si>
  <si>
    <t xml:space="preserve">    (@GROUP_BSCS_2023_2024_ELECTIVES, @COURSE_CAP_4628),</t>
  </si>
  <si>
    <t xml:space="preserve">    (@GROUP_BSCYS_2023_2024_ELECTIVES, @COURSE_CIS_3360),</t>
  </si>
  <si>
    <t xml:space="preserve">    (@GROUP_BSIT_2022_2023_ELECTIVES, @COURSE_COP_3353),</t>
  </si>
  <si>
    <t xml:space="preserve">    (@GROUP_BSIT_2023_2024_ELECTIVES, @COURSE_COP_4931),</t>
  </si>
  <si>
    <t xml:space="preserve">    (@GROUP_BSCP_2022_2023_ELECTIVES, @COURSE_CDA_4322),</t>
  </si>
  <si>
    <t xml:space="preserve">    (@GROUP_BSCP_2023_2024_ELECTIVES, @COURSE_CAP_4628),</t>
  </si>
  <si>
    <t xml:space="preserve">    (@GROUP_BSCS_2022_2023_ELECTIVES, @COURSE_CDA_4203L),</t>
  </si>
  <si>
    <t xml:space="preserve">    (@GROUP_BSCS_2023_2024_SOFTWARE_ELECTIVES, @COURSE_CAP_4628),</t>
  </si>
  <si>
    <t xml:space="preserve">    (@GROUP_BSCS_2023_2024_ELECTIVES, @COURSE_CAP_4637),</t>
  </si>
  <si>
    <t xml:space="preserve">    (@GROUP_BSCYS_2023_2024_ELECTIVES, @COURSE_CIS_3362),</t>
  </si>
  <si>
    <t xml:space="preserve">    (@GROUP_BSIT_2022_2023_ELECTIVES, @COURSE_COP_4564),</t>
  </si>
  <si>
    <t xml:space="preserve">    (@GROUP_BSCP_2022_2023_ELECTIVES, @COURSE_CDA_4621),</t>
  </si>
  <si>
    <t xml:space="preserve">    (@GROUP_BSCP_2023_2024_ELECTIVES, @COURSE_CAP_4641),</t>
  </si>
  <si>
    <t xml:space="preserve">    (@GROUP_BSCS_2022_2023_ELECTIVES, @COURSE_CDA_4213),</t>
  </si>
  <si>
    <t xml:space="preserve">    (@GROUP_BSCS_2023_2024_SOFTWARE_ELECTIVES, @COURSE_CAP_4641),</t>
  </si>
  <si>
    <t xml:space="preserve">    (@GROUP_BSCS_2023_2024_ELECTIVES, @COURSE_CAP_4641),</t>
  </si>
  <si>
    <t xml:space="preserve">    (@GROUP_BSCYS_2023_2024_ELECTIVES, @COURSE_CIS_4361),</t>
  </si>
  <si>
    <t xml:space="preserve">    (@GROUP_BSIT_2022_2023_ELECTIVES, @COURSE_COP_4883),</t>
  </si>
  <si>
    <t xml:space="preserve">    (@GROUP_BSCP_2022_2023_ELECTIVES, @COURSE_CEN_4020),</t>
  </si>
  <si>
    <t xml:space="preserve">    (@GROUP_BSCP_2023_2024_ELECTIVES, @COURSE_CAP_4662),</t>
  </si>
  <si>
    <t xml:space="preserve">    (@GROUP_BSCS_2022_2023_ELECTIVES, @COURSE_CDA_4213L),</t>
  </si>
  <si>
    <t xml:space="preserve">    (@GROUP_BSCS_2023_2024_SOFTWARE_ELECTIVES, @COURSE_CAP_4662),</t>
  </si>
  <si>
    <t xml:space="preserve">    (@GROUP_BSCS_2023_2024_ELECTIVES, @COURSE_CAP_4662),</t>
  </si>
  <si>
    <t xml:space="preserve">    (@GROUP_BSCYS_2023_2024_ELECTIVES, @COURSE_LIS_4779),</t>
  </si>
  <si>
    <t xml:space="preserve">    (@GROUP_BSIT_2022_2023_ELECTIVES, @COURSE_COP_4900),</t>
  </si>
  <si>
    <t xml:space="preserve">    (@GROUP_BSCP_2022_2023_ELECTIVES, @COURSE_CEN_4072),</t>
  </si>
  <si>
    <t xml:space="preserve">    (@GROUP_BSCP_2023_2024_ELECTIVES, @COURSE_CAP_4744),</t>
  </si>
  <si>
    <t xml:space="preserve">    (@GROUP_BSCS_2022_2023_ELECTIVES, @COURSE_CDA_4253),</t>
  </si>
  <si>
    <t xml:space="preserve">    (@GROUP_BSCS_2023_2024_SOFTWARE_ELECTIVES, @COURSE_CAP_4744),</t>
  </si>
  <si>
    <t xml:space="preserve">    (@GROUP_BSCS_2023_2024_ELECTIVES, @COURSE_CAP_4744),</t>
  </si>
  <si>
    <t xml:space="preserve">    (@GROUP_BSCYS_2023_2024_ELECTIVES, @COURSE_CIS_4203),</t>
  </si>
  <si>
    <t xml:space="preserve">    (@GROUP_BSIT_2022_2023_ELECTIVES, @COURSE_CTS_4337),</t>
  </si>
  <si>
    <t xml:space="preserve">    (@GROUP_BSCP_2022_2023_ELECTIVES, @COURSE_CIS_4212),</t>
  </si>
  <si>
    <t xml:space="preserve">    (@GROUP_BSCP_2023_2024_ELECTIVES, @COURSE_CDA_4253),</t>
  </si>
  <si>
    <t xml:space="preserve">    (@GROUP_BSCS_2022_2023_ELECTIVES, @COURSE_CDA_4322),</t>
  </si>
  <si>
    <t xml:space="preserve">    (@GROUP_BSCS_2023_2024_SOFTWARE_ELECTIVES, @COURSE_CDA_4621),</t>
  </si>
  <si>
    <t xml:space="preserve">    (@GROUP_BSCS_2023_2024_ELECTIVES, @COURSE_CDA_4203),</t>
  </si>
  <si>
    <t xml:space="preserve">    (@GROUP_BSCYS_2023_2024_ELECTIVES, @COURSE_CIS_4368),</t>
  </si>
  <si>
    <t xml:space="preserve">    (@GROUP_BSCP_2022_2023_ELECTIVES, @COURSE_CIS_4345),</t>
  </si>
  <si>
    <t xml:space="preserve">    (@GROUP_BSCP_2023_2024_ELECTIVES, @COURSE_CDA_4321),</t>
  </si>
  <si>
    <t xml:space="preserve">    (@GROUP_BSCS_2022_2023_ELECTIVES, @COURSE_CDA_4621),</t>
  </si>
  <si>
    <t xml:space="preserve">    (@GROUP_BSCS_2023_2024_SOFTWARE_ELECTIVES, @COURSE_CEN_4072),</t>
  </si>
  <si>
    <t xml:space="preserve">    (@GROUP_BSCS_2023_2024_ELECTIVES, @COURSE_CDA_4203L),</t>
  </si>
  <si>
    <t xml:space="preserve">    (@GROUP_BSCYS_2023_2024_ELECTIVES, @COURSE_ISM_4041),</t>
  </si>
  <si>
    <t xml:space="preserve">    (@GROUP_BSCP_2022_2023_ELECTIVES, @COURSE_CIS_4364),</t>
  </si>
  <si>
    <t xml:space="preserve">    (@GROUP_BSCP_2023_2024_ELECTIVES, @COURSE_CDA_4322),</t>
  </si>
  <si>
    <t xml:space="preserve">    (@GROUP_BSCS_2022_2023_ELECTIVES, @COURSE_CEN_4072),</t>
  </si>
  <si>
    <t xml:space="preserve">    (@GROUP_BSCS_2023_2024_SOFTWARE_ELECTIVES, @COURSE_CIS_4345),</t>
  </si>
  <si>
    <t xml:space="preserve">    (@GROUP_BSCS_2023_2024_ELECTIVES, @COURSE_CDA_4213),</t>
  </si>
  <si>
    <t xml:space="preserve">    (@GROUP_BSCYS_2023_2024_ELECTIVES, @COURSE_EDG_3801),</t>
  </si>
  <si>
    <t xml:space="preserve">    (@GROUP_BSCP_2022_2023_ELECTIVES, @COURSE_CIS_4623),</t>
  </si>
  <si>
    <t xml:space="preserve">    (@GROUP_BSCP_2023_2024_ELECTIVES, @COURSE_CDA_4323),</t>
  </si>
  <si>
    <t xml:space="preserve">    (@GROUP_BSCS_2022_2023_ELECTIVES, @COURSE_CIS_4212),</t>
  </si>
  <si>
    <t xml:space="preserve">    (@GROUP_BSCS_2023_2024_SOFTWARE_ELECTIVES, @COURSE_CNT_4004),</t>
  </si>
  <si>
    <t xml:space="preserve">    (@GROUP_BSCS_2023_2024_ELECTIVES, @COURSE_CDA_4213L),</t>
  </si>
  <si>
    <t xml:space="preserve">    (@GROUP_BSCP_2022_2023_ELECTIVES, @COURSE_CIS_4900),</t>
  </si>
  <si>
    <t xml:space="preserve">    (@GROUP_BSCP_2023_2024_ELECTIVES, @COURSE_CDA_4621),</t>
  </si>
  <si>
    <t xml:space="preserve">    (@GROUP_BSCS_2022_2023_ELECTIVES, @COURSE_CIS_4345),</t>
  </si>
  <si>
    <t xml:space="preserve">    (@GROUP_BSCS_2023_2024_SOFTWARE_ELECTIVES, @COURSE_CNT_4411),</t>
  </si>
  <si>
    <t xml:space="preserve">    (@GROUP_BSCS_2023_2024_ELECTIVES, @COURSE_CDA_4253),</t>
  </si>
  <si>
    <t xml:space="preserve">    (@GROUP_BSCP_2022_2023_ELECTIVES, @COURSE_CIS_4915),</t>
  </si>
  <si>
    <t xml:space="preserve">    (@GROUP_BSCP_2023_2024_ELECTIVES, @COURSE_CEN_4020),</t>
  </si>
  <si>
    <t xml:space="preserve">    (@GROUP_BSCS_2022_2023_ELECTIVES, @COURSE_CIS_4364),</t>
  </si>
  <si>
    <t xml:space="preserve">    (@GROUP_BSCS_2023_2024_SOFTWARE_ELECTIVES, @COURSE_COP_4020),</t>
  </si>
  <si>
    <t xml:space="preserve">    (@GROUP_BSCS_2023_2024_ELECTIVES, @COURSE_CDA_4321),</t>
  </si>
  <si>
    <t xml:space="preserve">    (@GROUP_BSCP_2022_2023_ELECTIVES, @COURSE_CIS_4940),</t>
  </si>
  <si>
    <t xml:space="preserve">    (@GROUP_BSCP_2023_2024_ELECTIVES, @COURSE_CEN_4072),</t>
  </si>
  <si>
    <t xml:space="preserve">    (@GROUP_BSCS_2022_2023_ELECTIVES, @COURSE_CIS_4623),</t>
  </si>
  <si>
    <t xml:space="preserve">    (@GROUP_BSCS_2023_2024_SOFTWARE_ELECTIVES, @COURSE_COP_4365),</t>
  </si>
  <si>
    <t xml:space="preserve">    (@GROUP_BSCS_2023_2024_ELECTIVES, @COURSE_CDA_4322),</t>
  </si>
  <si>
    <t xml:space="preserve">    (@GROUP_BSCP_2022_2023_ELECTIVES, @COURSE_CNT_4004),</t>
  </si>
  <si>
    <t xml:space="preserve">    (@GROUP_BSCP_2023_2024_ELECTIVES, @COURSE_CIS_4212),</t>
  </si>
  <si>
    <t xml:space="preserve">    (@GROUP_BSCS_2022_2023_ELECTIVES, @COURSE_CIS_4900),</t>
  </si>
  <si>
    <t xml:space="preserve">    (@GROUP_BSCS_2023_2024_SOFTWARE_ELECTIVES, @COURSE_COP_4520),</t>
  </si>
  <si>
    <t xml:space="preserve">    (@GROUP_BSCS_2023_2024_ELECTIVES, @COURSE_CDA_4323),</t>
  </si>
  <si>
    <t xml:space="preserve">    (@GROUP_BSCP_2022_2023_ELECTIVES, @COURSE_CNT_4411),</t>
  </si>
  <si>
    <t xml:space="preserve">    (@GROUP_BSCP_2023_2024_ELECTIVES, @COURSE_CIS_4345),</t>
  </si>
  <si>
    <t xml:space="preserve">    (@GROUP_BSCS_2022_2023_ELECTIVES, @COURSE_CIS_4910),</t>
  </si>
  <si>
    <t xml:space="preserve">    (@GROUP_BSCS_2023_2024_SOFTWARE_ELECTIVES, @COURSE_COP_4620),</t>
  </si>
  <si>
    <t xml:space="preserve">    (@GROUP_BSCS_2023_2024_ELECTIVES, @COURSE_CDA_4621),</t>
  </si>
  <si>
    <t xml:space="preserve">    (@GROUP_BSCP_2022_2023_ELECTIVES, @COURSE_CNT_4419),</t>
  </si>
  <si>
    <t xml:space="preserve">    (@GROUP_BSCP_2023_2024_ELECTIVES, @COURSE_CIS_4900),</t>
  </si>
  <si>
    <t xml:space="preserve">    (@GROUP_BSCS_2022_2023_ELECTIVES, @COURSE_CIS_4915),</t>
  </si>
  <si>
    <t xml:space="preserve">    (@GROUP_BSCS_2023_2024_SOFTWARE_ELECTIVES, @COURSE_COP_4710),</t>
  </si>
  <si>
    <t xml:space="preserve">    (@GROUP_BSCS_2023_2024_ELECTIVES, @COURSE_CEN_4072),</t>
  </si>
  <si>
    <t xml:space="preserve">    (@GROUP_BSCP_2022_2023_ELECTIVES, @COURSE_CNT_4800),</t>
  </si>
  <si>
    <t xml:space="preserve">    (@GROUP_BSCP_2023_2024_ELECTIVES, @COURSE_CIS_4915),</t>
  </si>
  <si>
    <t xml:space="preserve">    (@GROUP_BSCS_2022_2023_ELECTIVES, @COURSE_CIS_4940),</t>
  </si>
  <si>
    <t xml:space="preserve">    (@GROUP_BSCS_2023_2024_ELECTIVES, @COURSE_CIS_4212),</t>
  </si>
  <si>
    <t xml:space="preserve">    (@GROUP_BSCP_2022_2023_ELECTIVES, @COURSE_COP_4020),</t>
  </si>
  <si>
    <t xml:space="preserve">    (@GROUP_BSCP_2023_2024_ELECTIVES, @COURSE_CIS_4930),</t>
  </si>
  <si>
    <t xml:space="preserve">    (@GROUP_BSCS_2022_2023_ELECTIVES, @COURSE_CNT_4004),</t>
  </si>
  <si>
    <t xml:space="preserve">    (@GROUP_BSCS_2023_2024_ELECTIVES, @COURSE_CIS_4345),</t>
  </si>
  <si>
    <t xml:space="preserve">    (@GROUP_BSCP_2022_2023_ELECTIVES, @COURSE_COP_4365),</t>
  </si>
  <si>
    <t xml:space="preserve">    (@GROUP_BSCP_2023_2024_ELECTIVES, @COURSE_CIS_4940),</t>
  </si>
  <si>
    <t xml:space="preserve">    (@GROUP_BSCS_2022_2023_ELECTIVES, @COURSE_CNT_4411),</t>
  </si>
  <si>
    <t xml:space="preserve">    (@GROUP_BSCS_2023_2024_ELECTIVES, @COURSE_CIS_4900),</t>
  </si>
  <si>
    <t xml:space="preserve">    (@GROUP_BSCP_2022_2023_ELECTIVES, @COURSE_COP_4520),</t>
  </si>
  <si>
    <t xml:space="preserve">    (@GROUP_BSCP_2023_2024_ELECTIVES, @COURSE_CNT_4004),</t>
  </si>
  <si>
    <t xml:space="preserve">    (@GROUP_BSCS_2022_2023_ELECTIVES, @COURSE_CNT_4800),</t>
  </si>
  <si>
    <t xml:space="preserve">    (@GROUP_BSCS_2023_2024_ELECTIVES, @COURSE_CIS_4910),</t>
  </si>
  <si>
    <t xml:space="preserve">    (@GROUP_BSCP_2022_2023_ELECTIVES, @COURSE_COP_4620),</t>
  </si>
  <si>
    <t xml:space="preserve">    (@GROUP_BSCP_2023_2024_ELECTIVES, @COURSE_CNT_4411),</t>
  </si>
  <si>
    <t xml:space="preserve">    (@GROUP_BSCS_2022_2023_ELECTIVES, @COURSE_COP_4020),</t>
  </si>
  <si>
    <t xml:space="preserve">    (@GROUP_BSCS_2023_2024_ELECTIVES, @COURSE_CIS_4915),</t>
  </si>
  <si>
    <t xml:space="preserve">    (@GROUP_BSCP_2022_2023_ELECTIVES, @COURSE_COP_4656),</t>
  </si>
  <si>
    <t xml:space="preserve">    (@GROUP_BSCP_2023_2024_ELECTIVES, @COURSE_CNT_4419),</t>
  </si>
  <si>
    <t xml:space="preserve">    (@GROUP_BSCS_2022_2023_ELECTIVES, @COURSE_COP_4365),</t>
  </si>
  <si>
    <t xml:space="preserve">    (@GROUP_BSCS_2023_2024_ELECTIVES, @COURSE_CIS_4930),</t>
  </si>
  <si>
    <t xml:space="preserve">    (@GROUP_BSCP_2022_2023_ELECTIVES, @COURSE_COP_4710),</t>
  </si>
  <si>
    <t xml:space="preserve">    (@GROUP_BSCP_2023_2024_ELECTIVES, @COURSE_COP_4020),</t>
  </si>
  <si>
    <t xml:space="preserve">    (@GROUP_BSCS_2022_2023_ELECTIVES, @COURSE_COP_4520),</t>
  </si>
  <si>
    <t xml:space="preserve">    (@GROUP_BSCS_2023_2024_ELECTIVES, @COURSE_CIS_4940),</t>
  </si>
  <si>
    <t xml:space="preserve">    (@GROUP_BSCP_2022_2023_ELECTIVES, @COURSE_COT_4210),</t>
  </si>
  <si>
    <t xml:space="preserve">    (@GROUP_BSCP_2023_2024_ELECTIVES, @COURSE_COP_4365),</t>
  </si>
  <si>
    <t xml:space="preserve">    (@GROUP_BSCS_2022_2023_ELECTIVES, @COURSE_COP_4620),</t>
  </si>
  <si>
    <t xml:space="preserve">    (@GROUP_BSCS_2023_2024_ELECTIVES, @COURSE_CNT_4004),</t>
  </si>
  <si>
    <t xml:space="preserve">    (@GROUP_BSCP_2022_2023_ELECTIVES, @COURSE_COT_4521),</t>
  </si>
  <si>
    <t xml:space="preserve">    (@GROUP_BSCP_2023_2024_ELECTIVES, @COURSE_COP_4520),</t>
  </si>
  <si>
    <t xml:space="preserve">    (@GROUP_BSCS_2022_2023_ELECTIVES, @COURSE_COP_4656),</t>
  </si>
  <si>
    <t xml:space="preserve">    (@GROUP_BSCS_2023_2024_ELECTIVES, @COURSE_CNT_4411),</t>
  </si>
  <si>
    <t xml:space="preserve">    (@GROUP_BSCP_2023_2024_ELECTIVES, @COURSE_COP_4620),</t>
  </si>
  <si>
    <t xml:space="preserve">    (@GROUP_BSCS_2022_2023_ELECTIVES, @COURSE_COP_4710),</t>
  </si>
  <si>
    <t xml:space="preserve">    (@GROUP_BSCS_2023_2024_ELECTIVES, @COURSE_COP_4020),</t>
  </si>
  <si>
    <t xml:space="preserve">    (@GROUP_BSCP_2023_2024_ELECTIVES, @COURSE_COP_4656),</t>
  </si>
  <si>
    <t xml:space="preserve">    (@GROUP_BSCS_2022_2023_ELECTIVES, @COURSE_COT_4210),</t>
  </si>
  <si>
    <t xml:space="preserve">    (@GROUP_BSCS_2023_2024_ELECTIVES, @COURSE_COP_4365),</t>
  </si>
  <si>
    <t xml:space="preserve">    (@GROUP_BSCP_2023_2024_ELECTIVES, @COURSE_COP_4710),</t>
  </si>
  <si>
    <t xml:space="preserve">    (@GROUP_BSCS_2022_2023_ELECTIVES, @COURSE_COT_4521),</t>
  </si>
  <si>
    <t xml:space="preserve">    (@GROUP_BSCS_2023_2024_ELECTIVES, @COURSE_COP_4520),</t>
  </si>
  <si>
    <t xml:space="preserve">    (@GROUP_BSCP_2023_2024_ELECTIVES, @COURSE_COT_4210),</t>
  </si>
  <si>
    <t xml:space="preserve">    (@GROUP_BSCS_2023_2024_ELECTIVES, @COURSE_COP_4620),</t>
  </si>
  <si>
    <t xml:space="preserve">    (@GROUP_BSCP_2023_2024_ELECTIVES, @COURSE_COT_4521),</t>
  </si>
  <si>
    <t xml:space="preserve">    (@GROUP_BSCS_2023_2024_ELECTIVES, @COURSE_COP_4710),</t>
  </si>
  <si>
    <t xml:space="preserve">    (@GROUP_BSCP_2023_2024_ELECTIVES, @COURSE_COT_4601),</t>
  </si>
  <si>
    <t xml:space="preserve">    (@GROUP_BSCS_2023_2024_ELECTIVES, @COURSE_COT_4210),</t>
  </si>
  <si>
    <t xml:space="preserve">    (@GROUP_BSCS_2023_2024_ELECTIVES, @COURSE_COT_4521),</t>
  </si>
  <si>
    <t xml:space="preserve">    (@GROUP_BSCS_2023_2024_ELECTIVES, @COURSE_COT_4601),</t>
  </si>
  <si>
    <t xml:space="preserve">    (@GROUP_BSCP_2022_2023_GECH, @COURSE_   _(@GROUP_BS),</t>
  </si>
  <si>
    <t xml:space="preserve">    (@GROUP_BSCP_2022_2023_GECS, @COURSE_   _(@GROUP_BS),</t>
  </si>
  <si>
    <t xml:space="preserve">    (@GROUP_BSCP_2022_2023_CALC_1, @COURSE_   _(@GROUP_BS),</t>
  </si>
  <si>
    <t xml:space="preserve">    (@GROUP_BSCP_2022_2023_CALC_2, @COURSE_   _(@GROUP_BS),</t>
  </si>
  <si>
    <t xml:space="preserve">    (@GROUP_BSCP_2022_2023_CALC_3, @COURSE_   _(@GROUP_BS),</t>
  </si>
  <si>
    <t xml:space="preserve">    (@GROUP_BSCP_2022_2023_DIFF_EQ, @COURSE_   _(@GROUP_BS),</t>
  </si>
  <si>
    <t xml:space="preserve">    (@GROUP_BSCP_2022_2023_CHEM_1, @COURSE_   _(@GROUP_BS),</t>
  </si>
  <si>
    <t xml:space="preserve">    (@GROUP_BSCP_2022_2023_CHEM_1_LAB, @COURSE_   _(@GROUP_BS),</t>
  </si>
  <si>
    <t xml:space="preserve">    (@GROUP_BSCP_2022_2023_HARDWARE_ELECTIVES, @COURSE_   _(@GROUP_BS),</t>
  </si>
  <si>
    <t xml:space="preserve">    (@GROUP_BSCP_2022_2023_ELECTIVES, @COURSE_   _(@GROUP_BS),</t>
  </si>
  <si>
    <t xml:space="preserve">    (@GROUP_BSCP_2023_2024_GECH, @COURSE_   _(@GROUP_BS),</t>
  </si>
  <si>
    <t xml:space="preserve">    (@GROUP_BSCP_2023_2024_GECS, @COURSE_   _(@GROUP_BS),</t>
  </si>
  <si>
    <t xml:space="preserve">    (@GROUP_BSCP_2023_2024_CALC_1, @COURSE_   _(@GROUP_BS),</t>
  </si>
  <si>
    <t xml:space="preserve">    (@GROUP_BSCP_2023_2024_CALC_2, @COURSE_   _(@GROUP_BS),</t>
  </si>
  <si>
    <t xml:space="preserve">    (@GROUP_BSCP_2023_2024_CALC_3, @COURSE_   _(@GROUP_BS),</t>
  </si>
  <si>
    <t xml:space="preserve">    (@GROUP_BSCP_2023_2024_DIFF_EQ, @COURSE_   _(@GROUP_BS),</t>
  </si>
  <si>
    <t xml:space="preserve">    (@GROUP_BSCP_2023_2024_CHEM_1, @COURSE_   _(@GROUP_BS),</t>
  </si>
  <si>
    <t xml:space="preserve">    (@GROUP_BSCP_2023_2024_CHEM_1_LAB, @COURSE_   _(@GROUP_BS),</t>
  </si>
  <si>
    <t xml:space="preserve">    (@GROUP_BSCP_2023_2024_HARDWARE_ELECTIVES, @COURSE_   _(@GROUP_BS),</t>
  </si>
  <si>
    <t xml:space="preserve">    (@GROUP_BSCP_2023_2024_ELECTIVES, @COURSE_   _(@GROUP_BS),</t>
  </si>
  <si>
    <t xml:space="preserve">    (@GROUP_BSCS_2022_2023_GECH, @COURSE_   _(@GROUP_BS),</t>
  </si>
  <si>
    <t xml:space="preserve">    (@GROUP_BSCS_2022_2023_GECS, @COURSE_   _(@GROUP_BS),</t>
  </si>
  <si>
    <t xml:space="preserve">    (@GROUP_BSCS_2022_2023_CALC_1, @COURSE_   _(@GROUP_BS),</t>
  </si>
  <si>
    <t xml:space="preserve">    (@GROUP_BSCS_2022_2023_CALC_2, @COURSE_   _(@GROUP_BS),</t>
  </si>
  <si>
    <t xml:space="preserve">    (@GROUP_BSCS_2022_2023_CALC_3, @COURSE_   _(@GROUP_BS),</t>
  </si>
  <si>
    <t xml:space="preserve">    (@GROUP_BSCS_2022_2023_ELECTIVES, @COURSE_   _(@GROUP_BS),</t>
  </si>
  <si>
    <t xml:space="preserve">    (@GROUP_BSCS_2023_2024_GECH, @COURSE_   _(@GROUP_BS),</t>
  </si>
  <si>
    <t xml:space="preserve">    (@GROUP_BSCS_2023_2024_GECS, @COURSE_   _(@GROUP_BS),</t>
  </si>
  <si>
    <t xml:space="preserve">    (@GROUP_BSCS_2023_2024_CALC_1, @COURSE_   _(@GROUP_BS),</t>
  </si>
  <si>
    <t xml:space="preserve">    (@GROUP_BSCS_2023_2024_CALC_2, @COURSE_   _(@GROUP_BS),</t>
  </si>
  <si>
    <t xml:space="preserve">    (@GROUP_BSCS_2023_2024_CALC_3, @COURSE_   _(@GROUP_BS),</t>
  </si>
  <si>
    <t xml:space="preserve">    (@GROUP_BSCS_2023_2024_SOFTWARE_ELECTIVES, @COURSE_   _(@GROUP_BS),</t>
  </si>
  <si>
    <t xml:space="preserve">    (@GROUP_BSCS_2023_2024_THEORY_ELECTIVES, @COURSE_   _(@GROUP_BS),</t>
  </si>
  <si>
    <t xml:space="preserve">    (@GROUP_BSCS_2023_2024_ELECTIVES, @COURSE_   _(@GROUP_BS),</t>
  </si>
  <si>
    <t xml:space="preserve">    (@GROUP_BSCYS_2022_2023_GECH, @COURSE_   _(@GROUP_BS),</t>
  </si>
  <si>
    <t xml:space="preserve">    (@GROUP_BSCYS_2022_2023_GECS, @COURSE_   _(@GROUP_BS),</t>
  </si>
  <si>
    <t xml:space="preserve">    (@GROUP_BSCYS_2022_2023_ELECTIVES, @COURSE_   _(@GROUP_BS),</t>
  </si>
  <si>
    <t xml:space="preserve">    (@GROUP_BSCYS_2023_2024_GECH, @COURSE_   _(@GROUP_BS),</t>
  </si>
  <si>
    <t xml:space="preserve">    (@GROUP_BSCYS_2023_2024_GECS, @COURSE_   _(@GROUP_BS),</t>
  </si>
  <si>
    <t xml:space="preserve">    (@GROUP_BSCYS_2023_2024_ELECTIVES, @COURSE_   _(@GROUP_BS),</t>
  </si>
  <si>
    <t xml:space="preserve">    (@GROUP_BSIT_2022_2023_GECH, @COURSE_   _(@GROUP_BS),</t>
  </si>
  <si>
    <t xml:space="preserve">    (@GROUP_BSIT_2022_2023_GECS, @COURSE_   _(@GROUP_BS),</t>
  </si>
  <si>
    <t xml:space="preserve">    (@GROUP_BSIT_2022_2023_GENERAL_ADDON, @COURSE_   _(@GROUP_BS),</t>
  </si>
  <si>
    <t xml:space="preserve">    (@GROUP_BSIT_2022_2023_ELECTIVES, @COURSE_   _(@GROUP_BS),</t>
  </si>
  <si>
    <t xml:space="preserve">    (@GROUP_BSIT_2023_2024_GECH, @COURSE_   _(@GROUP_BS),</t>
  </si>
  <si>
    <t xml:space="preserve">    (@GROUP_BSIT_2023_2024_GECS, @COURSE_   _(@GROUP_BS),</t>
  </si>
  <si>
    <t xml:space="preserve">    (@GROUP_BSIT_2023_2024_ELECTIVES, @COURSE_   _(@GROUP_BS),</t>
  </si>
  <si>
    <t xml:space="preserve"> MAC 2281</t>
  </si>
  <si>
    <t>Prereq 1</t>
  </si>
  <si>
    <t>Prereq 2</t>
  </si>
  <si>
    <t>Prereq 3</t>
  </si>
  <si>
    <t>a</t>
  </si>
  <si>
    <t xml:space="preserve">    (@COURSE_CAP_4034, @COURSE_COP_3514, 'C'),</t>
  </si>
  <si>
    <t xml:space="preserve">    (@COURSE_CAP_4063, @COURSE_COP_4530, 'C'),</t>
  </si>
  <si>
    <t xml:space="preserve">    (@COURSE_CAP_4103, @COURSE_COP_3331, 'C'),</t>
  </si>
  <si>
    <t xml:space="preserve">    (@COURSE_CAP_4111, @COURSE_COP_4530, 'C'),</t>
  </si>
  <si>
    <t xml:space="preserve">    (@COURSE_CAP_4136, @COURSE_COP_3515, 'C'),</t>
  </si>
  <si>
    <t xml:space="preserve">    (@COURSE_CAP_4160, @COURSE_CDA_3201, 'C'),</t>
  </si>
  <si>
    <t xml:space="preserve">    (@COURSE_CAP_4401, @COURSE_COP_4530, 'C'),</t>
  </si>
  <si>
    <t xml:space="preserve">    (@COURSE_CAP_4410, @COURSE_COP_4530, 'C'),</t>
  </si>
  <si>
    <t xml:space="preserve">    (@COURSE_CAP_4621, @COURSE_COP_4530, 'C'),</t>
  </si>
  <si>
    <t xml:space="preserve">    (@COURSE_CAP_4628, @COURSE_COP_4530, 'C'),</t>
  </si>
  <si>
    <t xml:space="preserve">    (@COURSE_CAP_4637, @COURSE_COP_4530, 'C'),</t>
  </si>
  <si>
    <t xml:space="preserve">    (@COURSE_CAP_4641, @COURSE_COP_4530, 'C'),</t>
  </si>
  <si>
    <t xml:space="preserve">    (@COURSE_CAP_4662, @COURSE_COP_4530, 'C'),</t>
  </si>
  <si>
    <t xml:space="preserve">    (@COURSE_CAP_4662, @COURSE_EGN_4450, 'C'),</t>
  </si>
  <si>
    <t xml:space="preserve">    (@COURSE_CAP_4744, @COURSE_COP_4530, 'C'),</t>
  </si>
  <si>
    <t xml:space="preserve">    (@COURSE_CAP_4773, @COURSE_COP_4530, 'C'),</t>
  </si>
  <si>
    <t xml:space="preserve">    (@COURSE_CAP_4773, @COURSE_CDA_3201, 'C'),</t>
  </si>
  <si>
    <t xml:space="preserve">    (@COURSE_CDA_3103, @COURSE_COP_2510, 'C'),</t>
  </si>
  <si>
    <t xml:space="preserve">    (@COURSE_CDA_3201, @COURSE_CDA_3103, 'C'),</t>
  </si>
  <si>
    <t xml:space="preserve">    (@COURSE_CDA_3201, @COURSE_COP_3514, 'C'),</t>
  </si>
  <si>
    <t xml:space="preserve">    (@COURSE_CDA_4203, @COURSE_CDA_3201, 'C'),</t>
  </si>
  <si>
    <t xml:space="preserve">    (@COURSE_CDA_4203, @COURSE_CDA_3201L, 'C'),</t>
  </si>
  <si>
    <t xml:space="preserve">    (@COURSE_CDA_4205, @COURSE_CDA_3201, 'C'),</t>
  </si>
  <si>
    <t xml:space="preserve">    (@COURSE_CDA_4205, @COURSE_CDA_3201L, 'C'),</t>
  </si>
  <si>
    <t xml:space="preserve">    (@COURSE_CDA_4205L, @COURSE_CDA_3201, 'C'),</t>
  </si>
  <si>
    <t xml:space="preserve">    (@COURSE_CDA_4213, @COURSE_CDA_3201, 'C'),</t>
  </si>
  <si>
    <t xml:space="preserve">    (@COURSE_CDA_4213, @COURSE_CDA_3201L, 'C'),</t>
  </si>
  <si>
    <t xml:space="preserve">    (@COURSE_CDA_4213L, @COURSE_CDA_3201, 'C'),</t>
  </si>
  <si>
    <t xml:space="preserve">    (@COURSE_CDA_4213L, @COURSE_CDA_3201L, 'C'),</t>
  </si>
  <si>
    <t xml:space="preserve">    (@COURSE_CDA_4253, @COURSE_CDA_3201, 'C'),</t>
  </si>
  <si>
    <t xml:space="preserve">    (@COURSE_CDA_4253, @COURSE_CDA_3201L, 'C'),</t>
  </si>
  <si>
    <t xml:space="preserve">    (@COURSE_CDA_4321, @COURSE_CDA_3201, 'C'),</t>
  </si>
  <si>
    <t xml:space="preserve">    (@COURSE_CDA_4322, @COURSE_CDA_3201, 'C'),</t>
  </si>
  <si>
    <t xml:space="preserve">    (@COURSE_CDA_4322, @COURSE_CDA_3201L, 'C'),</t>
  </si>
  <si>
    <t xml:space="preserve">    (@COURSE_CDA_4323, @COURSE_CDA_3201, 'C'),</t>
  </si>
  <si>
    <t xml:space="preserve">    (@COURSE_CDA_4323, @COURSE_CDA_3201L, 'C'),</t>
  </si>
  <si>
    <t xml:space="preserve">    (@COURSE_CDA_4621, @COURSE_CDA_3201, 'C'),</t>
  </si>
  <si>
    <t xml:space="preserve">    (@COURSE_CEN_3722, @COURSE_COP_3515, 'C'),</t>
  </si>
  <si>
    <t xml:space="preserve">    (@COURSE_CEN_4020, @COURSE_COP_4530, 'C'),</t>
  </si>
  <si>
    <t xml:space="preserve">    (@COURSE_CEN_4072, @COURSE_COP_2510, 'C'),</t>
  </si>
  <si>
    <t xml:space="preserve">    (@COURSE_CEN_4072, @COURSE_COP_4530, 'C'),</t>
  </si>
  <si>
    <t xml:space="preserve">    (@COURSE_CEN_4360, @COURSE_COP_3515, 'C'),</t>
  </si>
  <si>
    <t xml:space="preserve">    (@COURSE_CGS_3303, @COURSE_CGS_1540, 'C'),</t>
  </si>
  <si>
    <t xml:space="preserve">    (@COURSE_CGS_3853, @COURSE_CEN_3722, 'C'),</t>
  </si>
  <si>
    <t xml:space="preserve">    (@COURSE_CHM_2045L, @COURSE_CHS_2440, 'C'),</t>
  </si>
  <si>
    <t xml:space="preserve">    (@COURSE_CIS_3213, @COURSE_COP_2512, 'C'),</t>
  </si>
  <si>
    <t xml:space="preserve">    (@COURSE_CIS_3362, @COURSE_MAD_2104, 'C'),</t>
  </si>
  <si>
    <t xml:space="preserve">    (@COURSE_CIS_3363, @COURSE_MAD_2104, 'C'),</t>
  </si>
  <si>
    <t xml:space="preserve">    (@COURSE_CIS_3363, @COURSE_CIS_3213, 'C'),</t>
  </si>
  <si>
    <t xml:space="preserve">    (@COURSE_CIS_3363, @COURSE_COP_2513, 'C'),</t>
  </si>
  <si>
    <t xml:space="preserve">    (@COURSE_CIS_3433, @COURSE_CGS_3303, 'C'),</t>
  </si>
  <si>
    <t xml:space="preserve">    (@COURSE_CIS_4083, @COURSE_COP_3515, 'C'),</t>
  </si>
  <si>
    <t xml:space="preserve">    (@COURSE_CIS_4200, @COURSE_COP_3515, 'C'),</t>
  </si>
  <si>
    <t xml:space="preserve">    (@COURSE_CIS_4203, @COURSE_COP_2030, 'C'),</t>
  </si>
  <si>
    <t xml:space="preserve">    (@COURSE_CIS_4203, @COURSE_MAD_2104, 'C'),</t>
  </si>
  <si>
    <t xml:space="preserve">    (@COURSE_CIS_4219, @COURSE_CIS_3363, 'C'),</t>
  </si>
  <si>
    <t xml:space="preserve">    (@COURSE_CIS_4345, @COURSE_COP_3331, 'C'),</t>
  </si>
  <si>
    <t xml:space="preserve">    (@COURSE_CIS_4361, @COURSE_COP_3515, 'C'),</t>
  </si>
  <si>
    <t xml:space="preserve">    (@COURSE_CIS_4364, @COURSE_COP_4530, 'C'),</t>
  </si>
  <si>
    <t xml:space="preserve">    (@COURSE_CIS_4368, @COURSE_COP_3718, 'C'),</t>
  </si>
  <si>
    <t xml:space="preserve">    (@COURSE_CIS_4622, @COURSE_COP_2513, 'C'),</t>
  </si>
  <si>
    <t xml:space="preserve">    (@COURSE_CIS_4623, @COURSE_COP_3331, 'C'),</t>
  </si>
  <si>
    <t xml:space="preserve">    (@COURSE_CIS_4900, @COURSE_COP_4530, 'C'),</t>
  </si>
  <si>
    <t xml:space="preserve">    (@COURSE_CIS_4900, @COURSE_CDA_3201, 'C'),</t>
  </si>
  <si>
    <t xml:space="preserve">    (@COURSE_CIS_4910, @COURSE_COP_4530, 'C'),</t>
  </si>
  <si>
    <t xml:space="preserve">    (@COURSE_CIS_4915, @COURSE_COP_4530, 'C'),</t>
  </si>
  <si>
    <t xml:space="preserve">    (@COURSE_CIS_4915, @COURSE_CDA_3201, 'C'),</t>
  </si>
  <si>
    <t xml:space="preserve">    (@COURSE_CIS_4930, @COURSE_COP_4530, 'C'),</t>
  </si>
  <si>
    <t xml:space="preserve">    (@COURSE_CIS_4930, @COURSE_CDA_3201, 'C'),</t>
  </si>
  <si>
    <t xml:space="preserve">    (@COURSE_CIS_4940, @COURSE_COP_4530, 'C'),</t>
  </si>
  <si>
    <t xml:space="preserve">    (@COURSE_CIS_4940, @COURSE_CDA_3201, 'C'),</t>
  </si>
  <si>
    <t xml:space="preserve">    (@COURSE_CNT_4004, @COURSE_COP_3514, 'C'),</t>
  </si>
  <si>
    <t xml:space="preserve">    (@COURSE_CNT_4104, @COURSE_COP_3515, 'C'),</t>
  </si>
  <si>
    <t xml:space="preserve">    (@COURSE_CNT_4104L, @COURSE_COP_3515, 'C'),</t>
  </si>
  <si>
    <t xml:space="preserve">    (@COURSE_CNT_4403, @COURSE_CNT_4104, 'C'),</t>
  </si>
  <si>
    <t xml:space="preserve">    (@COURSE_CNT_4411, @COURSE_COT_3100, 'C'),</t>
  </si>
  <si>
    <t xml:space="preserve">    (@COURSE_CNT_4419, @COURSE_COP_4530, 'C'),</t>
  </si>
  <si>
    <t xml:space="preserve">    (@COURSE_CNT_4603, @COURSE_CNT_4104, 'C'),</t>
  </si>
  <si>
    <t xml:space="preserve">    (@COURSE_CNT_4716C, @COURSE_CNT_4104, 'C'),</t>
  </si>
  <si>
    <t xml:space="preserve">    (@COURSE_CNT_4800, @COURSE_COP_4530, 'C'),</t>
  </si>
  <si>
    <t xml:space="preserve">    (@COURSE_COP_2510, @COURSE_MAC_2281, 'C'),</t>
  </si>
  <si>
    <t xml:space="preserve">    (@COURSE_COP_2513, @COURSE_COP_2512, 'C'),</t>
  </si>
  <si>
    <t xml:space="preserve">    (@COURSE_COP_2700, @COURSE_COP_2030, 'C'),</t>
  </si>
  <si>
    <t xml:space="preserve">    (@COURSE_COP_3331, @COURSE_COP_3514, 'C'),</t>
  </si>
  <si>
    <t xml:space="preserve">    (@COURSE_COP_3353, @COURSE_COP_2512, 'C'),</t>
  </si>
  <si>
    <t xml:space="preserve">    (@COURSE_COP_3514, @COURSE_COP_2510, 'C'),</t>
  </si>
  <si>
    <t xml:space="preserve">    (@COURSE_COP_3515, @COURSE_MAD_2104, 'C'),</t>
  </si>
  <si>
    <t xml:space="preserve">    (@COURSE_COP_3515, @COURSE_COP_2513, 'C'),</t>
  </si>
  <si>
    <t xml:space="preserve">    (@COURSE_COP_3718, @COURSE_COP_2700, 'C'),</t>
  </si>
  <si>
    <t xml:space="preserve">    (@COURSE_COP_4020, @COURSE_COP_4530, 'C'),</t>
  </si>
  <si>
    <t xml:space="preserve">    (@COURSE_COP_4365, @COURSE_COP_4530, 'C'),</t>
  </si>
  <si>
    <t xml:space="preserve">    (@COURSE_COP_4368, @COURSE_COP_2513, 'C'),</t>
  </si>
  <si>
    <t xml:space="preserve">    (@COURSE_COP_4520, @COURSE_COP_4530, 'C'),</t>
  </si>
  <si>
    <t xml:space="preserve">    (@COURSE_COP_4530, @COURSE_COP_3514, 'C'),</t>
  </si>
  <si>
    <t xml:space="preserve">    (@COURSE_COP_4530, @COURSE_CDA_3103, 'C'),</t>
  </si>
  <si>
    <t xml:space="preserve">    (@COURSE_COP_4538, @COURSE_COP_3515, 'C'),</t>
  </si>
  <si>
    <t xml:space="preserve">    (@COURSE_COP_4564, @COURSE_COP_3515, 'C'),</t>
  </si>
  <si>
    <t xml:space="preserve">    (@COURSE_COP_4600, @COURSE_COP_4530, 'C'),</t>
  </si>
  <si>
    <t xml:space="preserve">    (@COURSE_COP_4620, @COURSE_COP_4530, 'C'),</t>
  </si>
  <si>
    <t xml:space="preserve">    (@COURSE_COP_4656, @COURSE_COP_4530, 'C'),</t>
  </si>
  <si>
    <t xml:space="preserve">    (@COURSE_COP_4703, @COURSE_COP_4538, 'C'),</t>
  </si>
  <si>
    <t xml:space="preserve">    (@COURSE_COP_4710, @COURSE_COP_3331, 'C'),</t>
  </si>
  <si>
    <t xml:space="preserve">    (@COURSE_COP_4883, @COURSE_COP_4538, 'C'),</t>
  </si>
  <si>
    <t xml:space="preserve">    (@COURSE_COT_3100, @COURSE_MAC_2281, 'C'),</t>
  </si>
  <si>
    <t xml:space="preserve">    (@COURSE_COT_4210, @COURSE_COT_3100, 'C'),</t>
  </si>
  <si>
    <t xml:space="preserve">    (@COURSE_COT_4400, @COURSE_COT_3100, 'C'),</t>
  </si>
  <si>
    <t xml:space="preserve">    (@COURSE_COT_4400, @COURSE_COP_4530, 'C'),</t>
  </si>
  <si>
    <t xml:space="preserve">    (@COURSE_COT_4521, @COURSE_COP_4530, 'C'),</t>
  </si>
  <si>
    <t xml:space="preserve">    (@COURSE_COT_4521, @COURSE_COT_4400, 'C'),</t>
  </si>
  <si>
    <t xml:space="preserve">    (@COURSE_COT_4601, @COURSE_EGN_4450, 'C'),</t>
  </si>
  <si>
    <t xml:space="preserve">    (@COURSE_COT_4601, @COURSE_CDA_3103, 'C'),</t>
  </si>
  <si>
    <t xml:space="preserve">    (@COURSE_COT_4601, @COURSE_COP_4530, 'C'),</t>
  </si>
  <si>
    <t xml:space="preserve">    (@COURSE_CTS_4337, @COURSE_COP_3353, 'C'),</t>
  </si>
  <si>
    <t xml:space="preserve">    (@COURSE_EEE_3394, @COURSE_CHS_2440, 'C'),</t>
  </si>
  <si>
    <t xml:space="preserve">    (@COURSE_EEE_3394, @COURSE_PHY_2048, 'C'),</t>
  </si>
  <si>
    <t xml:space="preserve">    (@COURSE_EGN_3433, @COURSE_MAC_2283, 'C'),</t>
  </si>
  <si>
    <t xml:space="preserve">    (@COURSE_EGN_3433, @COURSE_PHY_2049, 'C'),</t>
  </si>
  <si>
    <t xml:space="preserve">    (@COURSE_EGN_3443, @COURSE_MAC_2282, 'C'),</t>
  </si>
  <si>
    <t xml:space="preserve">    (@COURSE_EGN_4450, @COURSE_MAC_2282, 'C'),</t>
  </si>
  <si>
    <t xml:space="preserve">    (@COURSE_ENC_1102, @COURSE_ENC_1101, 'C'),</t>
  </si>
  <si>
    <t xml:space="preserve">    (@COURSE_ENC_3246, @COURSE_ENC_1102, 'C'),</t>
  </si>
  <si>
    <t xml:space="preserve">    (@COURSE_ISM_3011, @COURSE_CGS_2100, 'C'),</t>
  </si>
  <si>
    <t xml:space="preserve">    (@COURSE_ISM_4041, @COURSE_ISM_3011, 'C'),</t>
  </si>
  <si>
    <t xml:space="preserve">    (@COURSE_ISM_4323, @COURSE_ISM_3011, 'C'),</t>
  </si>
  <si>
    <t xml:space="preserve">    (@COURSE_MAC_1105, @COURSE_MAT_1033, 'C'),</t>
  </si>
  <si>
    <t xml:space="preserve">    (@COURSE_MAC_1147, @COURSE_MAC_1105, 'C'),</t>
  </si>
  <si>
    <t xml:space="preserve">    (@COURSE_MAC_2281, @COURSE_MAC_1147, 'C'),</t>
  </si>
  <si>
    <t xml:space="preserve">    (@COURSE_MAC_2282, @COURSE_MAC_2281, 'C'),</t>
  </si>
  <si>
    <t xml:space="preserve">    (@COURSE_MAC_2283, @COURSE_MAC_2282, 'C'),</t>
  </si>
  <si>
    <t xml:space="preserve">    (@COURSE_MAC_2311, @COURSE_MAC_1147, 'C'),</t>
  </si>
  <si>
    <t xml:space="preserve">    (@COURSE_MAC_2312, @COURSE_ MA_ 2281, 'C'),</t>
  </si>
  <si>
    <t xml:space="preserve">    (@COURSE_MAC_2313, @COURSE_MAC_2282, 'C'),</t>
  </si>
  <si>
    <t xml:space="preserve">    (@COURSE_MAP_2302, @COURSE_MAC_2282, 'C'),</t>
  </si>
  <si>
    <t xml:space="preserve">    (@COURSE_PHY_2048, @COURSE_MAC_2281, 'C'),</t>
  </si>
  <si>
    <t xml:space="preserve">    (@COURSE_PHY_2048L, @COURSE_MAC_2281, 'C'),</t>
  </si>
  <si>
    <t xml:space="preserve">    (@COURSE_PHY_2049, @COURSE_PHY_2048L, 'C'),</t>
  </si>
  <si>
    <t xml:space="preserve">    (@COURSE_PHY_2049, @COURSE_MAC_2282, 'C'),</t>
  </si>
  <si>
    <t xml:space="preserve">    (@COURSE_PHY_2049, @COURSE_PHY_2048, 'C'),</t>
  </si>
  <si>
    <t xml:space="preserve">    (@COURSE_PHY_2049L, @COURSE_PHY_2048L, 'C'),</t>
  </si>
  <si>
    <t xml:space="preserve">    (@COURSE_PHY_2049L, @COURSE_MAC_2282, 'C'),</t>
  </si>
  <si>
    <t xml:space="preserve">    (@COURSE_PHY_2049L, @COURSE_PHY_2048, 'C'),</t>
  </si>
  <si>
    <t xml:space="preserve">    (@COURSE_PHY_2053, @COURSE_MAC_1147, 'C'),</t>
  </si>
  <si>
    <t xml:space="preserve">    (@COURSE_PHY_2060, @COURSE_MAC_2281, 'C'),</t>
  </si>
  <si>
    <t xml:space="preserve">    (@COURSE_STA_2023, @COURSE_MAT_1033, 'C'),</t>
  </si>
  <si>
    <t xml:space="preserve">    (@COURSE_BSC_2010, @COURSE_BSC_2010L),</t>
  </si>
  <si>
    <t xml:space="preserve">    (@COURSE_BSC_2010L, @COURSE_BSC_2010),</t>
  </si>
  <si>
    <t xml:space="preserve">    (@COURSE_BSC_2085, @COURSE_BSC_2085L),</t>
  </si>
  <si>
    <t xml:space="preserve">    (@COURSE_BSC_2085L, @COURSE_BSC_2085),</t>
  </si>
  <si>
    <t xml:space="preserve">    (@COURSE_CAP_4034, @COURSE_COP_4530),</t>
  </si>
  <si>
    <t xml:space="preserve">    (@COURSE_CDA_3201, @COURSE_CDA_3201L),</t>
  </si>
  <si>
    <t xml:space="preserve">    (@COURSE_CDA_3201L, @COURSE_CDA_3201),</t>
  </si>
  <si>
    <t xml:space="preserve">    (@COURSE_CDA_4203L, @COURSE_CDA_4203),</t>
  </si>
  <si>
    <t xml:space="preserve">    (@COURSE_CDA_4205L, @COURSE_CDA_4205),</t>
  </si>
  <si>
    <t xml:space="preserve">    (@COURSE_CDA_4213L, @COURSE_CDA_4213),</t>
  </si>
  <si>
    <t xml:space="preserve">    (@COURSE_CHM_2045L, @COURSE_CHM_2045),</t>
  </si>
  <si>
    <t xml:space="preserve">    (@COURSE_CHS_2440L, @COURSE_CHS_2440),</t>
  </si>
  <si>
    <t xml:space="preserve">    (@COURSE_CIS_4212, @COURSE_COP_4530),</t>
  </si>
  <si>
    <t xml:space="preserve">    (@COURSE_CIS_4364, @COURSE_COP_4600),</t>
  </si>
  <si>
    <t xml:space="preserve">    (@COURSE_CNT_4004, @COURSE_COP_4530),</t>
  </si>
  <si>
    <t xml:space="preserve">    (@COURSE_CNT_4104, @COURSE_CNT_4104L),</t>
  </si>
  <si>
    <t xml:space="preserve">    (@COURSE_CNT_4104L, @COURSE_CNT_4104),</t>
  </si>
  <si>
    <t xml:space="preserve">    (@COURSE_CNT_4411, @COURSE_COP_4530),</t>
  </si>
  <si>
    <t xml:space="preserve">    (@COURSE_COP_3331, @COURSE_CDA_3103),</t>
  </si>
  <si>
    <t xml:space="preserve">    (@COURSE_COP_4710, @COURSE_COP_4530),</t>
  </si>
  <si>
    <t xml:space="preserve">    (@COURSE_EEE_3394, @COURSE_MAC_2283),</t>
  </si>
  <si>
    <t xml:space="preserve">    (@COURSE_EGN_3373, @COURSE_EGN_3433),</t>
  </si>
  <si>
    <t xml:space="preserve">    (@COURSE_PHY_2048, @COURSE_PHY_2048L),</t>
  </si>
  <si>
    <t xml:space="preserve">    (@COURSE_PHY_2048L, @COURSE_PHY_2048),</t>
  </si>
  <si>
    <t xml:space="preserve">    (@COURSE_PHY_2049, @COURSE_PHY_2049L),</t>
  </si>
  <si>
    <t xml:space="preserve">    (@COURSE_PHY_2049L, @COURSE_PHY_2049),</t>
  </si>
  <si>
    <t xml:space="preserve">    (@COURSE_PHY_2053, @COURSE_PHY_2053L),</t>
  </si>
  <si>
    <t xml:space="preserve">    (@COURSE_PHY_2053L, @COURSE_PHY_2053),</t>
  </si>
  <si>
    <t xml:space="preserve">    (@COURSE_PHY_2060, @COURSE_PHY_2048L),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</si>
</sst>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4">
    <fill>
      <patternFill patternType="none"/>
    </fill>
    <fill>
      <patternFill patternType="gray125"/>
    </fill>
    <fill>
      <patternFill patternType="solid">
        <fgColor theme="1" tint="0.14996795556505021"/>
        <bgColor indexed="64"/>
      </patternFill>
    </fill>
    <fill>
      <patternFill patternType="solid">
        <fgColor theme="1" tint="0.14996795556505021"/>
        <bgColor theme="1" tint="0.14996795556505021"/>
      </patternFill>
    </fill>
  </fills>
  <borders count="2">
    <border>
      <left/>
      <right/>
      <top/>
      <bottom/>
      <diagonal/>
    </border>
    <border>
      <left style="thin">
        <color theme="1" tint="0.499984740745262"/>
      </left>
      <right style="thin">
        <color theme="1" tint="0.499984740745262"/>
      </right>
      <top style="thin">
        <color theme="1" tint="0.499984740745262"/>
      </top>
      <bottom style="thin">
        <color theme="1" tint="0.499984740745262"/>
      </bottom>
      <diagonal/>
    </border>
  </borders>
  <cellStyleXfs count="1">
    <xf numFmtId="0" fontId="0" fillId="0" borderId="0"/>
  </cellStyleXfs>
  <cellXfs count="4">
    <xf numFmtId="0" fontId="0" fillId="0" borderId="0" xfId="0"/>
    <xf numFmtId="0" fontId="1" fillId="2" borderId="1" xfId="0" applyFont="1" applyFill="1" applyBorder="1"/>
    <xf numFmtId="0" fontId="1" fillId="2" borderId="1" xfId="0" applyFont="1" applyFill="1" applyBorder="1" applyAlignment="1">
      <alignment wrapText="1"/>
    </xf>
    <xf numFmtId="0" fontId="1" fillId="3"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E54BCC-78FF-4A69-90D3-5817EF0F84E7}">
  <dimension ref="A1:AD178"/>
  <sheetViews>
    <sheetView tabSelected="1" topLeftCell="A29" zoomScaleNormal="100" workbookViewId="0">
      <selection activeCell="AC3" sqref="AC3:AC31"/>
    </sheetView>
  </sheetViews>
  <sheetFormatPr defaultRowHeight="14.4" x14ac:dyDescent="0.3"/>
  <cols>
    <col min="1" max="2" width="8.88671875" style="1"/>
    <col min="3" max="3" width="5.6640625" style="1" customWidth="1"/>
    <col min="4" max="4" width="7.21875" style="1" customWidth="1"/>
    <col min="5" max="5" width="7.44140625" style="1" customWidth="1"/>
    <col min="6" max="6" width="6" style="1" customWidth="1"/>
    <col min="7" max="7" width="8.88671875" style="1" hidden="1" customWidth="1"/>
    <col min="8" max="8" width="8.88671875" style="1"/>
    <col min="9" max="9" width="0" style="1" hidden="1" customWidth="1"/>
    <col min="10" max="10" width="8.88671875" style="1"/>
    <col min="11" max="11" width="0" style="1" hidden="1" customWidth="1"/>
    <col min="12" max="12" width="8.88671875" style="1"/>
    <col min="13" max="13" width="0" style="1" hidden="1" customWidth="1"/>
    <col min="14" max="14" width="8.88671875" style="1"/>
    <col min="15" max="15" width="0" style="1" hidden="1" customWidth="1"/>
    <col min="16" max="16" width="8.88671875" style="1"/>
    <col min="17" max="17" width="9.44140625" style="1" hidden="1" customWidth="1"/>
    <col min="18" max="18" width="9.77734375" style="1" hidden="1" customWidth="1"/>
    <col min="19" max="19" width="9.6640625" style="1" hidden="1" customWidth="1"/>
    <col min="20" max="23" width="8.88671875" style="1" customWidth="1"/>
    <col min="24" max="24" width="8.88671875" style="1"/>
    <col min="25" max="25" width="0" style="1" hidden="1" customWidth="1"/>
    <col min="26" max="26" width="8.88671875" style="1"/>
    <col min="27" max="27" width="9.77734375" style="1" hidden="1" customWidth="1"/>
    <col min="28" max="28" width="0" style="1" hidden="1" customWidth="1"/>
    <col min="29" max="16384" width="8.88671875" style="1"/>
  </cols>
  <sheetData>
    <row r="1" spans="1:30" x14ac:dyDescent="0.3">
      <c r="A1" s="1" t="s">
        <v>1</v>
      </c>
      <c r="B1" s="1" t="s">
        <v>2</v>
      </c>
      <c r="C1" s="1" t="s">
        <v>3</v>
      </c>
      <c r="D1" s="1" t="s">
        <v>4</v>
      </c>
      <c r="E1" s="1" t="s">
        <v>352</v>
      </c>
      <c r="F1" s="1" t="s">
        <v>353</v>
      </c>
      <c r="G1" s="1" t="s">
        <v>345</v>
      </c>
      <c r="H1" s="1" t="s">
        <v>852</v>
      </c>
      <c r="I1" s="1" t="s">
        <v>852</v>
      </c>
      <c r="J1" s="1" t="s">
        <v>852</v>
      </c>
      <c r="K1" s="1" t="s">
        <v>852</v>
      </c>
      <c r="L1" s="1" t="s">
        <v>852</v>
      </c>
      <c r="M1" s="1" t="s">
        <v>852</v>
      </c>
      <c r="N1" s="1" t="s">
        <v>852</v>
      </c>
      <c r="O1" s="1" t="s">
        <v>852</v>
      </c>
      <c r="P1" s="1" t="s">
        <v>852</v>
      </c>
      <c r="Q1" s="1" t="s">
        <v>1672</v>
      </c>
      <c r="R1" s="1" t="s">
        <v>1673</v>
      </c>
      <c r="S1" s="1" t="s">
        <v>1674</v>
      </c>
      <c r="T1" s="1" t="s">
        <v>852</v>
      </c>
      <c r="U1" s="1" t="s">
        <v>1672</v>
      </c>
      <c r="V1" s="1" t="s">
        <v>1673</v>
      </c>
      <c r="W1" s="1" t="s">
        <v>1674</v>
      </c>
      <c r="X1" s="1" t="s">
        <v>852</v>
      </c>
      <c r="Y1" s="1" t="s">
        <v>352</v>
      </c>
      <c r="Z1" s="1" t="s">
        <v>852</v>
      </c>
      <c r="AA1" s="1" t="s">
        <v>353</v>
      </c>
      <c r="AB1" s="1" t="s">
        <v>353</v>
      </c>
      <c r="AC1" s="1" t="s">
        <v>353</v>
      </c>
      <c r="AD1" s="1" t="s">
        <v>852</v>
      </c>
    </row>
    <row r="2" spans="1:30" x14ac:dyDescent="0.3">
      <c r="Y2" s="1" t="s">
        <v>1676</v>
      </c>
      <c r="AA2" s="1" t="s">
        <v>1291</v>
      </c>
    </row>
    <row r="3" spans="1:30" x14ac:dyDescent="0.3">
      <c r="A3" s="1" t="s">
        <v>337</v>
      </c>
      <c r="B3" s="1" t="s">
        <v>292</v>
      </c>
      <c r="C3" s="1" t="s">
        <v>16</v>
      </c>
      <c r="D3" s="1">
        <v>3</v>
      </c>
      <c r="G3" s="1" t="s">
        <v>344</v>
      </c>
      <c r="I3" s="1" t="str">
        <f>"    ('" &amp; A3 &amp; "', '" &amp; B3 &amp; "', '" &amp; C3 &amp; "', " &amp; D3 &amp; ", '" &amp; G3 &amp; "', " &amp; 1000 * ROUNDDOWN(MID(B3, 1, 4) / 1000, 0) &amp; "),"</f>
        <v xml:space="preserve">    ('AMH', '2020', 'American History II', 3, 'A history of the United States with attention given to relevant developments in the Western Hemisphere from 1877 to the present.', 2000),</v>
      </c>
      <c r="K3" s="1" t="str">
        <f>"    @COURSE_" &amp; A3 &amp; "_" &amp; B3 &amp; IF(LEN(B3) = 4, " ", "") &amp; " INT,"</f>
        <v xml:space="preserve">    @COURSE_AMH_2020  INT,</v>
      </c>
      <c r="M3" s="1" t="str">
        <f>"SELECT @COURSE_" &amp; A3 &amp; "_" &amp; B3 &amp; IF(LEN(B3) = 4, " ", "") &amp; " = CourseID FROM Bellini.Course WHERE CoursePrefix = '" &amp; A3 &amp; "' AND CourseNumber = '" &amp; B3 &amp; "';"</f>
        <v>SELECT @COURSE_AMH_2020  = CourseID FROM Bellini.Course WHERE CoursePrefix = 'AMH' AND CourseNumber = '2020';</v>
      </c>
      <c r="O3" s="1" t="s">
        <v>867</v>
      </c>
      <c r="Q3" s="1" t="s">
        <v>1675</v>
      </c>
      <c r="U3" s="1" t="str">
        <f>IF(Q3 &lt;&gt; "", "    (@COURSE_" &amp; $A3 &amp; "_" &amp; $B3 &amp; ", @COURSE_" &amp; MID(Q3, 1, 3) &amp; "_" &amp; MID(Q3, 5, 10) &amp; ", 'C');", "")</f>
        <v xml:space="preserve">    (@COURSE_AMH_2020, @COURSE_a_, 'C');</v>
      </c>
      <c r="V3" s="1" t="str">
        <f t="shared" ref="V3:W3" si="0">IF(R3 &lt;&gt; "", "    (@COURSE_" &amp; $A3 &amp; "_" &amp; $B3 &amp; ", @COURSE_" &amp; MID(R3, 1, 3) &amp; "_" &amp; MID(R3, 5, 10) &amp; ", 'C');", "")</f>
        <v/>
      </c>
      <c r="W3" s="1" t="str">
        <f t="shared" si="0"/>
        <v/>
      </c>
      <c r="Y3" s="1" t="s">
        <v>1677</v>
      </c>
      <c r="AA3" s="1" t="s">
        <v>1291</v>
      </c>
      <c r="AB3" s="1" t="str">
        <f>IF(AA3 &lt;&gt; "", "    (@COURSE_" &amp; $A3 &amp; "_" &amp; $B3 &amp; ", @COURSE_" &amp; MID(AA3, 1, 3) &amp; "_" &amp; MID(AA3, 5, 10) &amp; "),", "")</f>
        <v/>
      </c>
      <c r="AC3" s="1" t="s">
        <v>1820</v>
      </c>
    </row>
    <row r="4" spans="1:30" x14ac:dyDescent="0.3">
      <c r="A4" s="1" t="s">
        <v>338</v>
      </c>
      <c r="B4" s="1" t="s">
        <v>308</v>
      </c>
      <c r="C4" s="1" t="s">
        <v>339</v>
      </c>
      <c r="D4" s="1">
        <v>3</v>
      </c>
      <c r="G4" s="1" t="s">
        <v>346</v>
      </c>
      <c r="I4" s="1" t="str">
        <f t="shared" ref="I4:I67" si="1">"    ('" &amp; A4 &amp; "', '" &amp; B4 &amp; "', '" &amp; C4 &amp; "', " &amp; D4 &amp; ", '" &amp; G4 &amp; "', " &amp; 1000 * ROUNDDOWN(MID(B4, 1, 4) / 1000, 0) &amp; "),"</f>
        <v xml:space="preserve">    ('ANT', '2000', 'Introduction to Anthropology', 3, 'The cross-cultural study of the human species in biological and social perspective. Surveys the four major branches of anthropology: physical anthropology, archaeology, linguistic anthropology, and cultural anthropology.', 2000),</v>
      </c>
      <c r="K4" s="1" t="str">
        <f t="shared" ref="K4:K67" si="2">"    @COURSE_" &amp; A4 &amp; "_" &amp; B4 &amp; IF(LEN(B4) = 4, " ", "") &amp; " INT,"</f>
        <v xml:space="preserve">    @COURSE_ANT_2000  INT,</v>
      </c>
      <c r="M4" s="1" t="str">
        <f t="shared" ref="M4:M67" si="3">"SELECT @COURSE_" &amp; A4 &amp; "_" &amp; B4 &amp; IF(LEN(B4) = 4, " ", "") &amp; " = CourseID FROM Bellini.Course WHERE CoursePrefix = '" &amp; A4 &amp; "' AND CourseNumber = '" &amp; B4 &amp; "';"</f>
        <v>SELECT @COURSE_ANT_2000  = CourseID FROM Bellini.Course WHERE CoursePrefix = 'ANT' AND CourseNumber = '2000';</v>
      </c>
      <c r="O4" s="1" t="s">
        <v>868</v>
      </c>
      <c r="U4" s="1" t="str">
        <f t="shared" ref="U4:U67" si="4">IF(Q4 &lt;&gt; "", "    (@COURSE_" &amp; $A4 &amp; "_" &amp; $B4 &amp; ", @COURSE_" &amp; MID(Q4, 1, 3) &amp; "_" &amp; MID(Q4, 5, 10) &amp; ", 'C');", "")</f>
        <v/>
      </c>
      <c r="V4" s="1" t="str">
        <f t="shared" ref="V4:V67" si="5">IF(R4 &lt;&gt; "", "    (@COURSE_" &amp; $A4 &amp; "_" &amp; $B4 &amp; ", @COURSE_" &amp; MID(R4, 1, 3) &amp; "_" &amp; MID(R4, 5, 10) &amp; ", 'C');", "")</f>
        <v/>
      </c>
      <c r="W4" s="1" t="str">
        <f t="shared" ref="W4:W67" si="6">IF(S4 &lt;&gt; "", "    (@COURSE_" &amp; $A4 &amp; "_" &amp; $B4 &amp; ", @COURSE_" &amp; MID(S4, 1, 3) &amp; "_" &amp; MID(S4, 5, 10) &amp; ", 'C');", "")</f>
        <v/>
      </c>
      <c r="Y4" s="1" t="s">
        <v>1678</v>
      </c>
      <c r="AA4" s="1" t="s">
        <v>1291</v>
      </c>
      <c r="AB4" s="1" t="str">
        <f t="shared" ref="AB4:AC67" si="7">IF(AA4 &lt;&gt; "", "    (@COURSE_" &amp; $A4 &amp; "_" &amp; $B4 &amp; ", @COURSE_" &amp; MID(AA4, 1, 3) &amp; "_" &amp; MID(AA4, 5, 10) &amp; "),", "")</f>
        <v/>
      </c>
      <c r="AC4" s="1" t="s">
        <v>1821</v>
      </c>
    </row>
    <row r="5" spans="1:30" x14ac:dyDescent="0.3">
      <c r="A5" s="1" t="s">
        <v>307</v>
      </c>
      <c r="B5" s="1" t="s">
        <v>308</v>
      </c>
      <c r="C5" s="1" t="s">
        <v>14</v>
      </c>
      <c r="D5" s="1">
        <v>3</v>
      </c>
      <c r="G5" s="1" t="s">
        <v>347</v>
      </c>
      <c r="I5" s="1" t="str">
        <f t="shared" si="1"/>
        <v xml:space="preserve">    ('ARH', '2000', 'Art and Culture', 3, 'This course offers students an enhanced appreciation and understanding of art. Student will critically evaluate a broad range of imagery, media, artists, movements and historical periods in the visual arts.', 2000),</v>
      </c>
      <c r="K5" s="1" t="str">
        <f t="shared" si="2"/>
        <v xml:space="preserve">    @COURSE_ARH_2000  INT,</v>
      </c>
      <c r="M5" s="1" t="str">
        <f t="shared" si="3"/>
        <v>SELECT @COURSE_ARH_2000  = CourseID FROM Bellini.Course WHERE CoursePrefix = 'ARH' AND CourseNumber = '2000';</v>
      </c>
      <c r="O5" s="1" t="s">
        <v>869</v>
      </c>
      <c r="U5" s="1" t="str">
        <f t="shared" si="4"/>
        <v/>
      </c>
      <c r="V5" s="1" t="str">
        <f t="shared" si="5"/>
        <v/>
      </c>
      <c r="W5" s="1" t="str">
        <f t="shared" si="6"/>
        <v/>
      </c>
      <c r="Y5" s="1" t="s">
        <v>1679</v>
      </c>
      <c r="AA5" s="1" t="s">
        <v>1291</v>
      </c>
      <c r="AB5" s="1" t="str">
        <f t="shared" si="7"/>
        <v/>
      </c>
      <c r="AC5" s="1" t="s">
        <v>1822</v>
      </c>
    </row>
    <row r="6" spans="1:30" x14ac:dyDescent="0.3">
      <c r="A6" s="1" t="s">
        <v>324</v>
      </c>
      <c r="B6" s="1" t="s">
        <v>325</v>
      </c>
      <c r="C6" s="1" t="s">
        <v>326</v>
      </c>
      <c r="D6" s="1">
        <v>3</v>
      </c>
      <c r="G6" s="1" t="s">
        <v>348</v>
      </c>
      <c r="I6" s="1" t="str">
        <f t="shared" si="1"/>
        <v xml:space="preserve">    ('AST', '2002', 'Descriptive Astronomy', 3, 'An introductory and overview of astronomy course. It is designed to introduce a broad range of topics in astronomy that will be discussed in greater detail in more advanced classes.', 2000),</v>
      </c>
      <c r="K6" s="1" t="str">
        <f t="shared" si="2"/>
        <v xml:space="preserve">    @COURSE_AST_2002  INT,</v>
      </c>
      <c r="M6" s="1" t="str">
        <f t="shared" si="3"/>
        <v>SELECT @COURSE_AST_2002  = CourseID FROM Bellini.Course WHERE CoursePrefix = 'AST' AND CourseNumber = '2002';</v>
      </c>
      <c r="O6" s="1" t="s">
        <v>870</v>
      </c>
      <c r="U6" s="1" t="str">
        <f t="shared" si="4"/>
        <v/>
      </c>
      <c r="V6" s="1" t="str">
        <f t="shared" si="5"/>
        <v/>
      </c>
      <c r="W6" s="1" t="str">
        <f t="shared" si="6"/>
        <v/>
      </c>
      <c r="Y6" s="1" t="s">
        <v>1680</v>
      </c>
      <c r="AA6" s="1" t="s">
        <v>1291</v>
      </c>
      <c r="AB6" s="1" t="str">
        <f t="shared" si="7"/>
        <v/>
      </c>
      <c r="AC6" s="1" t="s">
        <v>1823</v>
      </c>
    </row>
    <row r="7" spans="1:30" x14ac:dyDescent="0.3">
      <c r="A7" s="1" t="s">
        <v>327</v>
      </c>
      <c r="B7" s="1" t="s">
        <v>328</v>
      </c>
      <c r="C7" s="1" t="s">
        <v>349</v>
      </c>
      <c r="D7" s="1">
        <v>3</v>
      </c>
      <c r="G7" s="1" t="s">
        <v>350</v>
      </c>
      <c r="I7" s="1" t="str">
        <f t="shared" si="1"/>
        <v xml:space="preserve">    ('BSC', '1005', 'Biological Principles for Non-Majors', 3, 'A comprehensive introduction to living systems, including the scientific basis of biology, cell structure and function, genetic mechanisms, human anatomy and physiology, and ecological and evolutionary processes.', 1000),</v>
      </c>
      <c r="K7" s="1" t="str">
        <f t="shared" si="2"/>
        <v xml:space="preserve">    @COURSE_BSC_1005  INT,</v>
      </c>
      <c r="M7" s="1" t="str">
        <f t="shared" si="3"/>
        <v>SELECT @COURSE_BSC_1005  = CourseID FROM Bellini.Course WHERE CoursePrefix = 'BSC' AND CourseNumber = '1005';</v>
      </c>
      <c r="O7" s="1" t="s">
        <v>871</v>
      </c>
      <c r="U7" s="1" t="str">
        <f t="shared" si="4"/>
        <v/>
      </c>
      <c r="V7" s="1" t="str">
        <f t="shared" si="5"/>
        <v/>
      </c>
      <c r="W7" s="1" t="str">
        <f t="shared" si="6"/>
        <v/>
      </c>
      <c r="Y7" s="1" t="s">
        <v>1681</v>
      </c>
      <c r="AA7" s="1" t="s">
        <v>1291</v>
      </c>
      <c r="AB7" s="1" t="str">
        <f t="shared" si="7"/>
        <v/>
      </c>
      <c r="AC7" s="1" t="s">
        <v>1824</v>
      </c>
    </row>
    <row r="8" spans="1:30" x14ac:dyDescent="0.3">
      <c r="A8" s="1" t="s">
        <v>327</v>
      </c>
      <c r="B8" s="1" t="s">
        <v>315</v>
      </c>
      <c r="C8" s="1" t="s">
        <v>15</v>
      </c>
      <c r="D8" s="1">
        <v>3</v>
      </c>
      <c r="F8" s="1" t="s">
        <v>354</v>
      </c>
      <c r="G8" s="1" t="s">
        <v>351</v>
      </c>
      <c r="I8" s="1" t="str">
        <f t="shared" si="1"/>
        <v xml:space="preserve">    ('BSC', '2010', 'Cellular Processes', 3, 'This course deals with biological systems at the cellular and subcellular levels. Topics include an introduction to biochemistry, cell structure and function, enzymes, respiration, mitosis and meiosis, genetics and gene expressi', 2000),</v>
      </c>
      <c r="K8" s="1" t="str">
        <f t="shared" si="2"/>
        <v xml:space="preserve">    @COURSE_BSC_2010  INT,</v>
      </c>
      <c r="M8" s="1" t="str">
        <f t="shared" si="3"/>
        <v>SELECT @COURSE_BSC_2010  = CourseID FROM Bellini.Course WHERE CoursePrefix = 'BSC' AND CourseNumber = '2010';</v>
      </c>
      <c r="O8" s="1" t="s">
        <v>872</v>
      </c>
      <c r="U8" s="1" t="str">
        <f t="shared" si="4"/>
        <v/>
      </c>
      <c r="V8" s="1" t="str">
        <f t="shared" si="5"/>
        <v/>
      </c>
      <c r="W8" s="1" t="str">
        <f t="shared" si="6"/>
        <v/>
      </c>
      <c r="Y8" s="1" t="s">
        <v>1682</v>
      </c>
      <c r="AA8" s="1" t="s">
        <v>354</v>
      </c>
      <c r="AB8" s="1" t="str">
        <f t="shared" si="7"/>
        <v xml:space="preserve">    (@COURSE_BSC_2010, @COURSE_BSC_2010L),</v>
      </c>
      <c r="AC8" s="1" t="s">
        <v>1825</v>
      </c>
    </row>
    <row r="9" spans="1:30" x14ac:dyDescent="0.3">
      <c r="A9" s="1" t="s">
        <v>327</v>
      </c>
      <c r="B9" s="1" t="s">
        <v>355</v>
      </c>
      <c r="C9" s="1" t="s">
        <v>356</v>
      </c>
      <c r="D9" s="1">
        <v>1</v>
      </c>
      <c r="F9" s="1" t="s">
        <v>357</v>
      </c>
      <c r="G9" s="1" t="s">
        <v>358</v>
      </c>
      <c r="I9" s="1" t="str">
        <f t="shared" si="1"/>
        <v xml:space="preserve">    ('BSC', '2010L', 'Cellular Processes Laboratory', 1, 'Laboratory portion of Biology I Cellular Processes relating to cellular and subcellular structure and function. Mitosis, meiosis, and Mendelian genetics will be stressed.', 2000),</v>
      </c>
      <c r="J9" s="3"/>
      <c r="K9" s="1" t="str">
        <f t="shared" si="2"/>
        <v xml:space="preserve">    @COURSE_BSC_2010L INT,</v>
      </c>
      <c r="M9" s="1" t="str">
        <f t="shared" si="3"/>
        <v>SELECT @COURSE_BSC_2010L = CourseID FROM Bellini.Course WHERE CoursePrefix = 'BSC' AND CourseNumber = '2010L';</v>
      </c>
      <c r="O9" s="1" t="s">
        <v>853</v>
      </c>
      <c r="U9" s="1" t="str">
        <f t="shared" si="4"/>
        <v/>
      </c>
      <c r="V9" s="1" t="str">
        <f t="shared" si="5"/>
        <v/>
      </c>
      <c r="W9" s="1" t="str">
        <f t="shared" si="6"/>
        <v/>
      </c>
      <c r="Y9" s="1" t="s">
        <v>1683</v>
      </c>
      <c r="AA9" s="1" t="s">
        <v>357</v>
      </c>
      <c r="AB9" s="1" t="str">
        <f t="shared" si="7"/>
        <v xml:space="preserve">    (@COURSE_BSC_2010L, @COURSE_BSC_2010),</v>
      </c>
      <c r="AC9" s="1" t="s">
        <v>1826</v>
      </c>
    </row>
    <row r="10" spans="1:30" x14ac:dyDescent="0.3">
      <c r="A10" s="1" t="s">
        <v>327</v>
      </c>
      <c r="B10" s="1" t="s">
        <v>329</v>
      </c>
      <c r="C10" s="1" t="s">
        <v>359</v>
      </c>
      <c r="D10" s="1">
        <v>3</v>
      </c>
      <c r="F10" s="1" t="s">
        <v>360</v>
      </c>
      <c r="G10" s="1" t="s">
        <v>361</v>
      </c>
      <c r="I10" s="1" t="str">
        <f t="shared" si="1"/>
        <v xml:space="preserve">    ('BSC', '2085', 'Anatomy and Physiology I For Health Professionals', 3, 'Introduction to the normal structure, function and selected pathological conditions for physiologic systems. Focus on understanding how the body functions in preparing for careers in nursing or healthrelated professions.', 2000),</v>
      </c>
      <c r="K10" s="1" t="str">
        <f t="shared" si="2"/>
        <v xml:space="preserve">    @COURSE_BSC_2085  INT,</v>
      </c>
      <c r="M10" s="1" t="str">
        <f t="shared" si="3"/>
        <v>SELECT @COURSE_BSC_2085  = CourseID FROM Bellini.Course WHERE CoursePrefix = 'BSC' AND CourseNumber = '2085';</v>
      </c>
      <c r="O10" s="1" t="s">
        <v>873</v>
      </c>
      <c r="U10" s="1" t="str">
        <f t="shared" si="4"/>
        <v/>
      </c>
      <c r="V10" s="1" t="str">
        <f t="shared" si="5"/>
        <v/>
      </c>
      <c r="W10" s="1" t="str">
        <f t="shared" si="6"/>
        <v/>
      </c>
      <c r="Y10" s="1" t="s">
        <v>1684</v>
      </c>
      <c r="AA10" s="1" t="s">
        <v>360</v>
      </c>
      <c r="AB10" s="1" t="str">
        <f t="shared" si="7"/>
        <v xml:space="preserve">    (@COURSE_BSC_2085, @COURSE_BSC_2085L),</v>
      </c>
      <c r="AC10" s="1" t="s">
        <v>1827</v>
      </c>
    </row>
    <row r="11" spans="1:30" ht="14.4" customHeight="1" x14ac:dyDescent="0.3">
      <c r="A11" s="1" t="s">
        <v>327</v>
      </c>
      <c r="B11" s="1" t="s">
        <v>362</v>
      </c>
      <c r="C11" s="2" t="s">
        <v>600</v>
      </c>
      <c r="D11" s="1">
        <v>1</v>
      </c>
      <c r="F11" s="1" t="s">
        <v>363</v>
      </c>
      <c r="G11" s="1" t="s">
        <v>364</v>
      </c>
      <c r="I11" s="1" t="str">
        <f t="shared" si="1"/>
        <v xml:space="preserve">    ('BSC', '2085L', 'Anatomy and Physiology Lab I for Nursing and other Healthcare Professionals', 1, 'Laboratory exercises and virtual dissections linked to the basic content of Anatomy &amp; Physiology I for Health Professionals.', 2000),</v>
      </c>
      <c r="K11" s="1" t="str">
        <f t="shared" si="2"/>
        <v xml:space="preserve">    @COURSE_BSC_2085L INT,</v>
      </c>
      <c r="M11" s="1" t="str">
        <f t="shared" si="3"/>
        <v>SELECT @COURSE_BSC_2085L = CourseID FROM Bellini.Course WHERE CoursePrefix = 'BSC' AND CourseNumber = '2085L';</v>
      </c>
      <c r="O11" s="1" t="s">
        <v>854</v>
      </c>
      <c r="U11" s="1" t="str">
        <f t="shared" si="4"/>
        <v/>
      </c>
      <c r="V11" s="1" t="str">
        <f t="shared" si="5"/>
        <v/>
      </c>
      <c r="W11" s="1" t="str">
        <f t="shared" si="6"/>
        <v/>
      </c>
      <c r="Y11" s="1" t="s">
        <v>1685</v>
      </c>
      <c r="AA11" s="1" t="s">
        <v>363</v>
      </c>
      <c r="AB11" s="1" t="str">
        <f t="shared" si="7"/>
        <v xml:space="preserve">    (@COURSE_BSC_2085L, @COURSE_BSC_2085),</v>
      </c>
      <c r="AC11" s="1" t="s">
        <v>1828</v>
      </c>
    </row>
    <row r="12" spans="1:30" x14ac:dyDescent="0.3">
      <c r="A12" s="1" t="s">
        <v>17</v>
      </c>
      <c r="B12" s="1" t="s">
        <v>18</v>
      </c>
      <c r="C12" s="1" t="s">
        <v>19</v>
      </c>
      <c r="D12" s="1">
        <v>3</v>
      </c>
      <c r="E12" s="1" t="s">
        <v>365</v>
      </c>
      <c r="F12" s="1" t="s">
        <v>366</v>
      </c>
      <c r="G12" s="1" t="s">
        <v>367</v>
      </c>
      <c r="I12" s="1" t="str">
        <f t="shared" si="1"/>
        <v xml:space="preserve">    ('CAP', '4034', 'Computer Animation Fundamentals', 3, 'An introductory course to computer animation. Topics include storyboarding, camera control, hierarchical character modeling, inverse kinematics, keyframing, motion capture, dynamic simulation, and facial animation.', 4000),</v>
      </c>
      <c r="K12" s="1" t="str">
        <f t="shared" si="2"/>
        <v xml:space="preserve">    @COURSE_CAP_4034  INT,</v>
      </c>
      <c r="M12" s="1" t="str">
        <f t="shared" si="3"/>
        <v>SELECT @COURSE_CAP_4034  = CourseID FROM Bellini.Course WHERE CoursePrefix = 'CAP' AND CourseNumber = '4034';</v>
      </c>
      <c r="O12" s="1" t="s">
        <v>874</v>
      </c>
      <c r="Q12" s="1" t="s">
        <v>365</v>
      </c>
      <c r="U12" s="1" t="str">
        <f t="shared" si="4"/>
        <v xml:space="preserve">    (@COURSE_CAP_4034, @COURSE_COP_3514, 'C');</v>
      </c>
      <c r="V12" s="1" t="str">
        <f t="shared" si="5"/>
        <v/>
      </c>
      <c r="W12" s="1" t="str">
        <f t="shared" si="6"/>
        <v/>
      </c>
      <c r="Y12" s="1" t="s">
        <v>1686</v>
      </c>
      <c r="AA12" s="1" t="s">
        <v>366</v>
      </c>
      <c r="AB12" s="1" t="str">
        <f t="shared" si="7"/>
        <v xml:space="preserve">    (@COURSE_CAP_4034, @COURSE_COP_4530),</v>
      </c>
      <c r="AC12" s="1" t="s">
        <v>1829</v>
      </c>
    </row>
    <row r="13" spans="1:30" x14ac:dyDescent="0.3">
      <c r="A13" s="1" t="s">
        <v>17</v>
      </c>
      <c r="B13" s="1" t="s">
        <v>20</v>
      </c>
      <c r="C13" s="1" t="s">
        <v>21</v>
      </c>
      <c r="D13" s="1">
        <v>3</v>
      </c>
      <c r="E13" s="1" t="s">
        <v>366</v>
      </c>
      <c r="G13" s="1" t="s">
        <v>368</v>
      </c>
      <c r="I13" s="1" t="str">
        <f t="shared" si="1"/>
        <v xml:space="preserve">    ('CAP', '4063', 'Web Application Design', 3, 'Analysis, design, and development of software that operates on web servers and web browsers, supporting multiple concurrent users.', 4000),</v>
      </c>
      <c r="K13" s="1" t="str">
        <f t="shared" si="2"/>
        <v xml:space="preserve">    @COURSE_CAP_4063  INT,</v>
      </c>
      <c r="M13" s="1" t="str">
        <f t="shared" si="3"/>
        <v>SELECT @COURSE_CAP_4063  = CourseID FROM Bellini.Course WHERE CoursePrefix = 'CAP' AND CourseNumber = '4063';</v>
      </c>
      <c r="O13" s="1" t="s">
        <v>875</v>
      </c>
      <c r="Q13" s="1" t="s">
        <v>366</v>
      </c>
      <c r="U13" s="1" t="str">
        <f t="shared" si="4"/>
        <v xml:space="preserve">    (@COURSE_CAP_4063, @COURSE_COP_4530, 'C');</v>
      </c>
      <c r="V13" s="1" t="str">
        <f t="shared" si="5"/>
        <v/>
      </c>
      <c r="W13" s="1" t="str">
        <f t="shared" si="6"/>
        <v/>
      </c>
      <c r="Y13" s="1" t="s">
        <v>1687</v>
      </c>
      <c r="AA13" s="1" t="s">
        <v>1291</v>
      </c>
      <c r="AB13" s="1" t="str">
        <f t="shared" si="7"/>
        <v/>
      </c>
      <c r="AC13" s="1" t="s">
        <v>1830</v>
      </c>
    </row>
    <row r="14" spans="1:30" x14ac:dyDescent="0.3">
      <c r="A14" s="1" t="s">
        <v>17</v>
      </c>
      <c r="B14" s="1" t="s">
        <v>22</v>
      </c>
      <c r="C14" s="1" t="s">
        <v>23</v>
      </c>
      <c r="D14" s="1">
        <v>3</v>
      </c>
      <c r="E14" s="1" t="s">
        <v>369</v>
      </c>
      <c r="G14" s="1" t="s">
        <v>851</v>
      </c>
      <c r="I14" s="1" t="str">
        <f t="shared" si="1"/>
        <v xml:space="preserve">    ('CAP', '4103', 'Mobile Biometrics', 3, 'Topics include foundations of biometric systems, mobile biometric modalities and features, and adversary attacks.', 4000),</v>
      </c>
      <c r="K14" s="1" t="str">
        <f t="shared" si="2"/>
        <v xml:space="preserve">    @COURSE_CAP_4103  INT,</v>
      </c>
      <c r="M14" s="1" t="str">
        <f t="shared" si="3"/>
        <v>SELECT @COURSE_CAP_4103  = CourseID FROM Bellini.Course WHERE CoursePrefix = 'CAP' AND CourseNumber = '4103';</v>
      </c>
      <c r="O14" s="1" t="s">
        <v>876</v>
      </c>
      <c r="Q14" s="1" t="s">
        <v>369</v>
      </c>
      <c r="U14" s="1" t="str">
        <f t="shared" si="4"/>
        <v xml:space="preserve">    (@COURSE_CAP_4103, @COURSE_COP_3331, 'C');</v>
      </c>
      <c r="V14" s="1" t="str">
        <f t="shared" si="5"/>
        <v/>
      </c>
      <c r="W14" s="1" t="str">
        <f t="shared" si="6"/>
        <v/>
      </c>
      <c r="Y14" s="1" t="s">
        <v>1688</v>
      </c>
      <c r="AA14" s="1" t="s">
        <v>1291</v>
      </c>
      <c r="AB14" s="1" t="str">
        <f t="shared" si="7"/>
        <v/>
      </c>
      <c r="AC14" s="1" t="s">
        <v>1831</v>
      </c>
    </row>
    <row r="15" spans="1:30" x14ac:dyDescent="0.3">
      <c r="A15" s="1" t="s">
        <v>17</v>
      </c>
      <c r="B15" s="1" t="s">
        <v>24</v>
      </c>
      <c r="C15" s="1" t="s">
        <v>25</v>
      </c>
      <c r="D15" s="1">
        <v>3</v>
      </c>
      <c r="E15" s="1" t="s">
        <v>366</v>
      </c>
      <c r="G15" s="1" t="s">
        <v>370</v>
      </c>
      <c r="I15" s="1" t="str">
        <f t="shared" si="1"/>
        <v xml:space="preserve">    ('CAP', '4111', 'Introduction to Augmented and Virtual Reality', 3, 'This course introduces students to computer graphics techniques, computer vision techniques, and hardware designs that make augmented and virtual reality systems immersive.', 4000),</v>
      </c>
      <c r="K15" s="1" t="str">
        <f t="shared" si="2"/>
        <v xml:space="preserve">    @COURSE_CAP_4111  INT,</v>
      </c>
      <c r="M15" s="1" t="str">
        <f t="shared" si="3"/>
        <v>SELECT @COURSE_CAP_4111  = CourseID FROM Bellini.Course WHERE CoursePrefix = 'CAP' AND CourseNumber = '4111';</v>
      </c>
      <c r="O15" s="1" t="s">
        <v>877</v>
      </c>
      <c r="Q15" s="1" t="s">
        <v>366</v>
      </c>
      <c r="U15" s="1" t="str">
        <f t="shared" si="4"/>
        <v xml:space="preserve">    (@COURSE_CAP_4111, @COURSE_COP_4530, 'C');</v>
      </c>
      <c r="V15" s="1" t="str">
        <f t="shared" si="5"/>
        <v/>
      </c>
      <c r="W15" s="1" t="str">
        <f t="shared" si="6"/>
        <v/>
      </c>
      <c r="Y15" s="1" t="s">
        <v>1689</v>
      </c>
      <c r="AA15" s="1" t="s">
        <v>1291</v>
      </c>
      <c r="AB15" s="1" t="str">
        <f t="shared" si="7"/>
        <v/>
      </c>
      <c r="AC15" s="1" t="s">
        <v>1832</v>
      </c>
    </row>
    <row r="16" spans="1:30" x14ac:dyDescent="0.3">
      <c r="A16" s="1" t="s">
        <v>17</v>
      </c>
      <c r="B16" s="1" t="s">
        <v>26</v>
      </c>
      <c r="C16" s="1" t="s">
        <v>27</v>
      </c>
      <c r="D16" s="1">
        <v>3</v>
      </c>
      <c r="E16" s="1" t="s">
        <v>372</v>
      </c>
      <c r="G16" s="1" t="s">
        <v>371</v>
      </c>
      <c r="I16" s="1" t="str">
        <f t="shared" si="1"/>
        <v xml:space="preserve">    ('CAP', '4136', 'Malware Analysis and Reverse Engineering', 3, 'This course will introduce students to the technical definition of malware, to the various malware analysis techniques (including reverse engineering of malware), and how to mitigate a malware attack.', 4000),</v>
      </c>
      <c r="K16" s="1" t="str">
        <f t="shared" si="2"/>
        <v xml:space="preserve">    @COURSE_CAP_4136  INT,</v>
      </c>
      <c r="M16" s="1" t="str">
        <f t="shared" si="3"/>
        <v>SELECT @COURSE_CAP_4136  = CourseID FROM Bellini.Course WHERE CoursePrefix = 'CAP' AND CourseNumber = '4136';</v>
      </c>
      <c r="O16" s="1" t="s">
        <v>878</v>
      </c>
      <c r="Q16" s="1" t="s">
        <v>372</v>
      </c>
      <c r="U16" s="1" t="str">
        <f t="shared" si="4"/>
        <v xml:space="preserve">    (@COURSE_CAP_4136, @COURSE_COP_3515, 'C');</v>
      </c>
      <c r="V16" s="1" t="str">
        <f t="shared" si="5"/>
        <v/>
      </c>
      <c r="W16" s="1" t="str">
        <f t="shared" si="6"/>
        <v/>
      </c>
      <c r="Y16" s="1" t="s">
        <v>1690</v>
      </c>
      <c r="AA16" s="1" t="s">
        <v>1291</v>
      </c>
      <c r="AB16" s="1" t="str">
        <f t="shared" si="7"/>
        <v/>
      </c>
      <c r="AC16" s="1" t="s">
        <v>1833</v>
      </c>
    </row>
    <row r="17" spans="1:29" x14ac:dyDescent="0.3">
      <c r="A17" s="1" t="s">
        <v>17</v>
      </c>
      <c r="B17" s="1" t="s">
        <v>28</v>
      </c>
      <c r="C17" s="1" t="s">
        <v>29</v>
      </c>
      <c r="D17" s="1">
        <v>3</v>
      </c>
      <c r="E17" s="1" t="s">
        <v>374</v>
      </c>
      <c r="G17" s="1" t="s">
        <v>373</v>
      </c>
      <c r="I17" s="1" t="str">
        <f t="shared" si="1"/>
        <v xml:space="preserve">    ('CAP', '4160', 'Brain-Computer Interfaces', 3, 'This course involves the exploration of new forms of Human-Computer Interaction (HCI) based on a passive measurement of neurophysiological states (cognitive and affective). These include measuring cognitive workload and affective engagement. Students will read research papers in several related disciplines (i.e. Neuroscience, Cognitive Psychology, Cognitive Science, Medical BCI, Computational Neuroscience, and others) and present and discuss them in the course. We will explore the uses of noninvasive ubiquitous electroencephalographic (EEG) brain technologies. Also, students will learn the basics of other brain imaging technologies such as nearinfrared spectroscopy (fNIRS) and Functional Magnetic Resonance Imaging (fMRI) and how they relate to the field of computing. We will also explore ways to use such measurements as a form of machine control', 4000),</v>
      </c>
      <c r="K17" s="1" t="str">
        <f t="shared" si="2"/>
        <v xml:space="preserve">    @COURSE_CAP_4160  INT,</v>
      </c>
      <c r="M17" s="1" t="str">
        <f t="shared" si="3"/>
        <v>SELECT @COURSE_CAP_4160  = CourseID FROM Bellini.Course WHERE CoursePrefix = 'CAP' AND CourseNumber = '4160';</v>
      </c>
      <c r="O17" s="1" t="s">
        <v>879</v>
      </c>
      <c r="Q17" s="1" t="s">
        <v>374</v>
      </c>
      <c r="U17" s="1" t="str">
        <f t="shared" si="4"/>
        <v xml:space="preserve">    (@COURSE_CAP_4160, @COURSE_CDA_3201, 'C');</v>
      </c>
      <c r="V17" s="1" t="str">
        <f t="shared" si="5"/>
        <v/>
      </c>
      <c r="W17" s="1" t="str">
        <f t="shared" si="6"/>
        <v/>
      </c>
      <c r="Y17" s="1" t="s">
        <v>1691</v>
      </c>
      <c r="AA17" s="1" t="s">
        <v>1291</v>
      </c>
      <c r="AB17" s="1" t="str">
        <f t="shared" si="7"/>
        <v/>
      </c>
      <c r="AC17" s="1" t="s">
        <v>1834</v>
      </c>
    </row>
    <row r="18" spans="1:29" x14ac:dyDescent="0.3">
      <c r="A18" s="1" t="s">
        <v>17</v>
      </c>
      <c r="B18" s="1" t="s">
        <v>30</v>
      </c>
      <c r="C18" s="1" t="s">
        <v>31</v>
      </c>
      <c r="D18" s="1">
        <v>3</v>
      </c>
      <c r="E18" s="1" t="s">
        <v>366</v>
      </c>
      <c r="G18" s="1" t="s">
        <v>375</v>
      </c>
      <c r="I18" s="1" t="str">
        <f t="shared" si="1"/>
        <v xml:space="preserve">    ('CAP', '4401', 'Image Processing Fundamentals', 3, 'Practical introduction to a range of fundamental image processing algorithms. Extensive programming, with emphasis on image analysis and transformation techniques. Image transformation and manipulation.', 4000),</v>
      </c>
      <c r="K18" s="1" t="str">
        <f t="shared" si="2"/>
        <v xml:space="preserve">    @COURSE_CAP_4401  INT,</v>
      </c>
      <c r="M18" s="1" t="str">
        <f t="shared" si="3"/>
        <v>SELECT @COURSE_CAP_4401  = CourseID FROM Bellini.Course WHERE CoursePrefix = 'CAP' AND CourseNumber = '4401';</v>
      </c>
      <c r="O18" s="1" t="s">
        <v>880</v>
      </c>
      <c r="Q18" s="1" t="s">
        <v>366</v>
      </c>
      <c r="U18" s="1" t="str">
        <f t="shared" si="4"/>
        <v xml:space="preserve">    (@COURSE_CAP_4401, @COURSE_COP_4530, 'C');</v>
      </c>
      <c r="V18" s="1" t="str">
        <f t="shared" si="5"/>
        <v/>
      </c>
      <c r="W18" s="1" t="str">
        <f t="shared" si="6"/>
        <v/>
      </c>
      <c r="Y18" s="1" t="s">
        <v>1692</v>
      </c>
      <c r="AA18" s="1" t="s">
        <v>1291</v>
      </c>
      <c r="AB18" s="1" t="str">
        <f t="shared" si="7"/>
        <v/>
      </c>
      <c r="AC18" s="1" t="s">
        <v>1835</v>
      </c>
    </row>
    <row r="19" spans="1:29" x14ac:dyDescent="0.3">
      <c r="A19" s="1" t="s">
        <v>17</v>
      </c>
      <c r="B19" s="1" t="s">
        <v>32</v>
      </c>
      <c r="C19" s="1" t="s">
        <v>33</v>
      </c>
      <c r="D19" s="1">
        <v>3</v>
      </c>
      <c r="E19" s="1" t="s">
        <v>366</v>
      </c>
      <c r="G19" s="1" t="s">
        <v>376</v>
      </c>
      <c r="I19" s="1" t="str">
        <f t="shared" si="1"/>
        <v xml:space="preserve">    ('CAP', '4410', 'Computer Vision', 3, 'Introduction to topics such as image formation, segmentation, feature extraction, matching, shape recovery, texture analysis, object recognition, and dynamic scene analysis.', 4000),</v>
      </c>
      <c r="K19" s="1" t="str">
        <f t="shared" si="2"/>
        <v xml:space="preserve">    @COURSE_CAP_4410  INT,</v>
      </c>
      <c r="M19" s="1" t="str">
        <f t="shared" si="3"/>
        <v>SELECT @COURSE_CAP_4410  = CourseID FROM Bellini.Course WHERE CoursePrefix = 'CAP' AND CourseNumber = '4410';</v>
      </c>
      <c r="O19" s="1" t="s">
        <v>881</v>
      </c>
      <c r="Q19" s="1" t="s">
        <v>366</v>
      </c>
      <c r="U19" s="1" t="str">
        <f t="shared" si="4"/>
        <v xml:space="preserve">    (@COURSE_CAP_4410, @COURSE_COP_4530, 'C');</v>
      </c>
      <c r="V19" s="1" t="str">
        <f t="shared" si="5"/>
        <v/>
      </c>
      <c r="W19" s="1" t="str">
        <f t="shared" si="6"/>
        <v/>
      </c>
      <c r="Y19" s="1" t="s">
        <v>1693</v>
      </c>
      <c r="AA19" s="1" t="s">
        <v>1291</v>
      </c>
      <c r="AB19" s="1" t="str">
        <f t="shared" si="7"/>
        <v/>
      </c>
      <c r="AC19" s="1" t="s">
        <v>1836</v>
      </c>
    </row>
    <row r="20" spans="1:29" x14ac:dyDescent="0.3">
      <c r="A20" s="1" t="s">
        <v>17</v>
      </c>
      <c r="B20" s="1" t="s">
        <v>34</v>
      </c>
      <c r="C20" s="1" t="s">
        <v>35</v>
      </c>
      <c r="D20" s="1">
        <v>3</v>
      </c>
      <c r="E20" s="1" t="s">
        <v>366</v>
      </c>
      <c r="G20" s="1" t="s">
        <v>377</v>
      </c>
      <c r="I20" s="1" t="str">
        <f t="shared" si="1"/>
        <v xml:space="preserve">    ('CAP', '4621', 'Introduction to Artificial Intelligence', 3, 'Introduction to Artificial Intelligence covers basic concepts, tools, and techniques used to produce artificial intelligence. Basic machine learning concepts. Use of different software tools for searching, reasoning and learning.', 4000),</v>
      </c>
      <c r="K20" s="1" t="str">
        <f t="shared" si="2"/>
        <v xml:space="preserve">    @COURSE_CAP_4621  INT,</v>
      </c>
      <c r="M20" s="1" t="str">
        <f t="shared" si="3"/>
        <v>SELECT @COURSE_CAP_4621  = CourseID FROM Bellini.Course WHERE CoursePrefix = 'CAP' AND CourseNumber = '4621';</v>
      </c>
      <c r="O20" s="1" t="s">
        <v>882</v>
      </c>
      <c r="Q20" s="1" t="s">
        <v>366</v>
      </c>
      <c r="U20" s="1" t="str">
        <f t="shared" si="4"/>
        <v xml:space="preserve">    (@COURSE_CAP_4621, @COURSE_COP_4530, 'C');</v>
      </c>
      <c r="V20" s="1" t="str">
        <f t="shared" si="5"/>
        <v/>
      </c>
      <c r="W20" s="1" t="str">
        <f t="shared" si="6"/>
        <v/>
      </c>
      <c r="Y20" s="1" t="s">
        <v>1694</v>
      </c>
      <c r="AA20" s="1" t="s">
        <v>1291</v>
      </c>
      <c r="AB20" s="1" t="str">
        <f t="shared" si="7"/>
        <v/>
      </c>
      <c r="AC20" s="1" t="s">
        <v>1837</v>
      </c>
    </row>
    <row r="21" spans="1:29" x14ac:dyDescent="0.3">
      <c r="A21" s="1" t="s">
        <v>17</v>
      </c>
      <c r="B21" s="1" t="s">
        <v>36</v>
      </c>
      <c r="C21" s="1" t="s">
        <v>37</v>
      </c>
      <c r="D21" s="1">
        <v>3</v>
      </c>
      <c r="E21" s="1" t="s">
        <v>366</v>
      </c>
      <c r="G21" s="1" t="s">
        <v>378</v>
      </c>
      <c r="I21" s="1" t="str">
        <f t="shared" si="1"/>
        <v xml:space="preserve">    ('CAP', '4628', 'Affective Computing', 3, 'The study of systems that can recognize, interpret, process, and simulate human affect. Topics may include physiology of emotion, lie detection, wearable devices, music, gaming, and ethical concerns associated with affective computing.', 4000),</v>
      </c>
      <c r="K21" s="1" t="str">
        <f t="shared" si="2"/>
        <v xml:space="preserve">    @COURSE_CAP_4628  INT,</v>
      </c>
      <c r="M21" s="1" t="str">
        <f t="shared" si="3"/>
        <v>SELECT @COURSE_CAP_4628  = CourseID FROM Bellini.Course WHERE CoursePrefix = 'CAP' AND CourseNumber = '4628';</v>
      </c>
      <c r="O21" s="1" t="s">
        <v>883</v>
      </c>
      <c r="Q21" s="1" t="s">
        <v>366</v>
      </c>
      <c r="U21" s="1" t="str">
        <f t="shared" si="4"/>
        <v xml:space="preserve">    (@COURSE_CAP_4628, @COURSE_COP_4530, 'C');</v>
      </c>
      <c r="V21" s="1" t="str">
        <f t="shared" si="5"/>
        <v/>
      </c>
      <c r="W21" s="1" t="str">
        <f t="shared" si="6"/>
        <v/>
      </c>
      <c r="Y21" s="1" t="s">
        <v>1695</v>
      </c>
      <c r="AA21" s="1" t="s">
        <v>1291</v>
      </c>
      <c r="AB21" s="1" t="str">
        <f t="shared" si="7"/>
        <v/>
      </c>
      <c r="AC21" s="1" t="s">
        <v>1838</v>
      </c>
    </row>
    <row r="22" spans="1:29" x14ac:dyDescent="0.3">
      <c r="A22" s="1" t="s">
        <v>17</v>
      </c>
      <c r="B22" s="1" t="s">
        <v>38</v>
      </c>
      <c r="C22" s="1" t="s">
        <v>39</v>
      </c>
      <c r="D22" s="1">
        <v>3</v>
      </c>
      <c r="E22" s="1" t="s">
        <v>366</v>
      </c>
      <c r="G22" s="1" t="s">
        <v>379</v>
      </c>
      <c r="I22" s="1" t="str">
        <f t="shared" si="1"/>
        <v xml:space="preserve">    ('CAP', '4637', 'Automated Reasoning and Theorem Proving', 3, 'This course covers the principles of automated reasoning/mechanical theorem proving. Topics to be covered include propositional logic, predicate logic, skolem standard forms, various resolution principles and methods, and non-classical logics.', 4000),</v>
      </c>
      <c r="K22" s="1" t="str">
        <f t="shared" si="2"/>
        <v xml:space="preserve">    @COURSE_CAP_4637  INT,</v>
      </c>
      <c r="M22" s="1" t="str">
        <f t="shared" si="3"/>
        <v>SELECT @COURSE_CAP_4637  = CourseID FROM Bellini.Course WHERE CoursePrefix = 'CAP' AND CourseNumber = '4637';</v>
      </c>
      <c r="O22" s="1" t="s">
        <v>884</v>
      </c>
      <c r="Q22" s="1" t="s">
        <v>366</v>
      </c>
      <c r="U22" s="1" t="str">
        <f t="shared" si="4"/>
        <v xml:space="preserve">    (@COURSE_CAP_4637, @COURSE_COP_4530, 'C');</v>
      </c>
      <c r="V22" s="1" t="str">
        <f t="shared" si="5"/>
        <v/>
      </c>
      <c r="W22" s="1" t="str">
        <f t="shared" si="6"/>
        <v/>
      </c>
      <c r="Y22" s="1" t="s">
        <v>1696</v>
      </c>
      <c r="AA22" s="1" t="s">
        <v>1291</v>
      </c>
      <c r="AB22" s="1" t="str">
        <f t="shared" si="7"/>
        <v/>
      </c>
      <c r="AC22" s="1" t="s">
        <v>1839</v>
      </c>
    </row>
    <row r="23" spans="1:29" x14ac:dyDescent="0.3">
      <c r="A23" s="1" t="s">
        <v>17</v>
      </c>
      <c r="B23" s="1" t="s">
        <v>40</v>
      </c>
      <c r="C23" s="1" t="s">
        <v>41</v>
      </c>
      <c r="D23" s="1">
        <v>3</v>
      </c>
      <c r="E23" s="1" t="s">
        <v>366</v>
      </c>
      <c r="G23" s="1" t="s">
        <v>380</v>
      </c>
      <c r="I23" s="1" t="str">
        <f t="shared" si="1"/>
        <v xml:space="preserve">    ('CAP', '4641', 'Natural Language Processing', 3, 'The concepts and principles of computer processing of natural language, including linguistic phenomena, formal methods, and applications.', 4000),</v>
      </c>
      <c r="K23" s="1" t="str">
        <f t="shared" si="2"/>
        <v xml:space="preserve">    @COURSE_CAP_4641  INT,</v>
      </c>
      <c r="M23" s="1" t="str">
        <f t="shared" si="3"/>
        <v>SELECT @COURSE_CAP_4641  = CourseID FROM Bellini.Course WHERE CoursePrefix = 'CAP' AND CourseNumber = '4641';</v>
      </c>
      <c r="O23" s="1" t="s">
        <v>885</v>
      </c>
      <c r="Q23" s="1" t="s">
        <v>366</v>
      </c>
      <c r="U23" s="1" t="str">
        <f t="shared" si="4"/>
        <v xml:space="preserve">    (@COURSE_CAP_4641, @COURSE_COP_4530, 'C');</v>
      </c>
      <c r="V23" s="1" t="str">
        <f t="shared" si="5"/>
        <v/>
      </c>
      <c r="W23" s="1" t="str">
        <f t="shared" si="6"/>
        <v/>
      </c>
      <c r="Y23" s="1" t="s">
        <v>1697</v>
      </c>
      <c r="AA23" s="1" t="s">
        <v>1291</v>
      </c>
      <c r="AB23" s="1" t="str">
        <f t="shared" si="7"/>
        <v/>
      </c>
      <c r="AC23" s="1" t="s">
        <v>1840</v>
      </c>
    </row>
    <row r="24" spans="1:29" x14ac:dyDescent="0.3">
      <c r="A24" s="1" t="s">
        <v>17</v>
      </c>
      <c r="B24" s="1" t="s">
        <v>42</v>
      </c>
      <c r="C24" s="1" t="s">
        <v>43</v>
      </c>
      <c r="D24" s="1">
        <v>3</v>
      </c>
      <c r="E24" s="1" t="s">
        <v>382</v>
      </c>
      <c r="G24" s="1" t="s">
        <v>381</v>
      </c>
      <c r="I24" s="1" t="str">
        <f t="shared" si="1"/>
        <v xml:space="preserve">    ('CAP', '4662', 'Introduction to Robotics', 3, 'An introduction to the fundamentals of robotics. Students will learn the fundamentals of robotics including kinematics, inverse kinematics, Jacobian, velocity, configuration space, motion planning, and path planning algorithms.', 4000),</v>
      </c>
      <c r="K24" s="1" t="str">
        <f t="shared" si="2"/>
        <v xml:space="preserve">    @COURSE_CAP_4662  INT,</v>
      </c>
      <c r="M24" s="1" t="str">
        <f t="shared" si="3"/>
        <v>SELECT @COURSE_CAP_4662  = CourseID FROM Bellini.Course WHERE CoursePrefix = 'CAP' AND CourseNumber = '4662';</v>
      </c>
      <c r="O24" s="1" t="s">
        <v>886</v>
      </c>
      <c r="Q24" s="1" t="s">
        <v>366</v>
      </c>
      <c r="R24" s="1" t="s">
        <v>618</v>
      </c>
      <c r="U24" s="1" t="str">
        <f t="shared" si="4"/>
        <v xml:space="preserve">    (@COURSE_CAP_4662, @COURSE_COP_4530, 'C');</v>
      </c>
      <c r="V24" s="1" t="str">
        <f t="shared" si="5"/>
        <v xml:space="preserve">    (@COURSE_CAP_4662, @COURSE_EGN_4450, 'C');</v>
      </c>
      <c r="W24" s="1" t="str">
        <f t="shared" si="6"/>
        <v/>
      </c>
      <c r="Y24" s="1" t="s">
        <v>1698</v>
      </c>
      <c r="AA24" s="1" t="s">
        <v>1291</v>
      </c>
      <c r="AB24" s="1" t="str">
        <f t="shared" si="7"/>
        <v/>
      </c>
      <c r="AC24" s="1" t="s">
        <v>1841</v>
      </c>
    </row>
    <row r="25" spans="1:29" x14ac:dyDescent="0.3">
      <c r="A25" s="1" t="s">
        <v>17</v>
      </c>
      <c r="B25" s="1" t="s">
        <v>44</v>
      </c>
      <c r="C25" s="1" t="s">
        <v>45</v>
      </c>
      <c r="D25" s="1">
        <v>3</v>
      </c>
      <c r="E25" s="1" t="s">
        <v>366</v>
      </c>
      <c r="G25" s="1" t="s">
        <v>383</v>
      </c>
      <c r="I25" s="1" t="str">
        <f t="shared" si="1"/>
        <v xml:space="preserve">    ('CAP', '4744', 'Interactive Data Visualization', 3, 'This course introduces the techniques used for developing effective visual analysis tools. The course covers principles from perception and design, and the algorithms used in visualizing a broad range of data types.', 4000),</v>
      </c>
      <c r="K25" s="1" t="str">
        <f t="shared" si="2"/>
        <v xml:space="preserve">    @COURSE_CAP_4744  INT,</v>
      </c>
      <c r="M25" s="1" t="str">
        <f t="shared" si="3"/>
        <v>SELECT @COURSE_CAP_4744  = CourseID FROM Bellini.Course WHERE CoursePrefix = 'CAP' AND CourseNumber = '4744';</v>
      </c>
      <c r="O25" s="1" t="s">
        <v>887</v>
      </c>
      <c r="Q25" s="1" t="s">
        <v>366</v>
      </c>
      <c r="U25" s="1" t="str">
        <f t="shared" si="4"/>
        <v xml:space="preserve">    (@COURSE_CAP_4744, @COURSE_COP_4530, 'C');</v>
      </c>
      <c r="V25" s="1" t="str">
        <f t="shared" si="5"/>
        <v/>
      </c>
      <c r="W25" s="1" t="str">
        <f t="shared" si="6"/>
        <v/>
      </c>
      <c r="Y25" s="1" t="s">
        <v>1699</v>
      </c>
      <c r="AA25" s="1" t="s">
        <v>1291</v>
      </c>
      <c r="AB25" s="1" t="str">
        <f t="shared" si="7"/>
        <v/>
      </c>
      <c r="AC25" s="1" t="s">
        <v>1842</v>
      </c>
    </row>
    <row r="26" spans="1:29" x14ac:dyDescent="0.3">
      <c r="A26" s="1" t="s">
        <v>17</v>
      </c>
      <c r="B26" s="1" t="s">
        <v>46</v>
      </c>
      <c r="C26" s="1" t="s">
        <v>47</v>
      </c>
      <c r="D26" s="1">
        <v>3</v>
      </c>
      <c r="E26" s="1" t="s">
        <v>385</v>
      </c>
      <c r="G26" s="1" t="s">
        <v>384</v>
      </c>
      <c r="I26" s="1" t="str">
        <f t="shared" si="1"/>
        <v xml:space="preserve">    ('CAP', '4773', 'Social Media Mining', 3, 'This course introduces useful techniques to model, analyze, and understand large-scale social media, with focus on social network analysis, user modeling, bot detection, and dynamical processes over social and information networks.', 4000),</v>
      </c>
      <c r="K26" s="1" t="str">
        <f t="shared" si="2"/>
        <v xml:space="preserve">    @COURSE_CAP_4773  INT,</v>
      </c>
      <c r="M26" s="1" t="str">
        <f t="shared" si="3"/>
        <v>SELECT @COURSE_CAP_4773  = CourseID FROM Bellini.Course WHERE CoursePrefix = 'CAP' AND CourseNumber = '4773';</v>
      </c>
      <c r="O26" s="1" t="s">
        <v>888</v>
      </c>
      <c r="Q26" s="1" t="s">
        <v>366</v>
      </c>
      <c r="R26" s="1" t="s">
        <v>374</v>
      </c>
      <c r="U26" s="1" t="str">
        <f t="shared" si="4"/>
        <v xml:space="preserve">    (@COURSE_CAP_4773, @COURSE_COP_4530, 'C');</v>
      </c>
      <c r="V26" s="1" t="str">
        <f t="shared" si="5"/>
        <v xml:space="preserve">    (@COURSE_CAP_4773, @COURSE_CDA_3201, 'C');</v>
      </c>
      <c r="W26" s="1" t="str">
        <f t="shared" si="6"/>
        <v/>
      </c>
      <c r="Y26" s="1" t="s">
        <v>1700</v>
      </c>
      <c r="AA26" s="1" t="s">
        <v>1291</v>
      </c>
      <c r="AB26" s="1" t="str">
        <f t="shared" si="7"/>
        <v/>
      </c>
      <c r="AC26" s="1" t="s">
        <v>1843</v>
      </c>
    </row>
    <row r="27" spans="1:29" x14ac:dyDescent="0.3">
      <c r="A27" s="1" t="s">
        <v>48</v>
      </c>
      <c r="B27" s="1" t="s">
        <v>49</v>
      </c>
      <c r="C27" s="1" t="s">
        <v>50</v>
      </c>
      <c r="D27" s="1">
        <v>3</v>
      </c>
      <c r="E27" s="1" t="s">
        <v>387</v>
      </c>
      <c r="G27" s="1" t="s">
        <v>386</v>
      </c>
      <c r="I27" s="1" t="str">
        <f t="shared" si="1"/>
        <v xml:space="preserve">    ('CDA', '3103', 'Computer Organization', 3, 'Introduction to computer hardware, logic elements and Boolean algebra, computer arithmetic, the central processing unit, assembly language programming, input/output, and memory.', 3000),</v>
      </c>
      <c r="K27" s="1" t="str">
        <f t="shared" si="2"/>
        <v xml:space="preserve">    @COURSE_CDA_3103  INT,</v>
      </c>
      <c r="M27" s="1" t="str">
        <f t="shared" si="3"/>
        <v>SELECT @COURSE_CDA_3103  = CourseID FROM Bellini.Course WHERE CoursePrefix = 'CDA' AND CourseNumber = '3103';</v>
      </c>
      <c r="O27" s="1" t="s">
        <v>889</v>
      </c>
      <c r="Q27" s="1" t="s">
        <v>387</v>
      </c>
      <c r="U27" s="1" t="str">
        <f t="shared" si="4"/>
        <v xml:space="preserve">    (@COURSE_CDA_3103, @COURSE_COP_2510, 'C');</v>
      </c>
      <c r="V27" s="1" t="str">
        <f t="shared" si="5"/>
        <v/>
      </c>
      <c r="W27" s="1" t="str">
        <f t="shared" si="6"/>
        <v/>
      </c>
      <c r="Y27" s="1" t="s">
        <v>1701</v>
      </c>
      <c r="AA27" s="1" t="s">
        <v>1291</v>
      </c>
      <c r="AB27" s="1" t="str">
        <f t="shared" si="7"/>
        <v/>
      </c>
      <c r="AC27" s="1" t="s">
        <v>1844</v>
      </c>
    </row>
    <row r="28" spans="1:29" x14ac:dyDescent="0.3">
      <c r="A28" s="1" t="s">
        <v>48</v>
      </c>
      <c r="B28" s="1" t="s">
        <v>51</v>
      </c>
      <c r="C28" s="1" t="s">
        <v>52</v>
      </c>
      <c r="D28" s="1">
        <v>3</v>
      </c>
      <c r="E28" s="1" t="s">
        <v>389</v>
      </c>
      <c r="F28" s="1" t="s">
        <v>390</v>
      </c>
      <c r="G28" s="1" t="s">
        <v>388</v>
      </c>
      <c r="I28" s="1" t="str">
        <f t="shared" si="1"/>
        <v xml:space="preserve">    ('CDA', '3201', 'Computer Logic and Design', 3, 'CSE and EE majors. Others by special permission. Advanced coverage of Boolean Algebra, introduction to minimization of combinational logic circuits, analysis and synthesis of sequential circuits, testing of logic circuits and programmable logic devices.', 3000),</v>
      </c>
      <c r="K28" s="1" t="str">
        <f t="shared" si="2"/>
        <v xml:space="preserve">    @COURSE_CDA_3201  INT,</v>
      </c>
      <c r="M28" s="1" t="str">
        <f t="shared" si="3"/>
        <v>SELECT @COURSE_CDA_3201  = CourseID FROM Bellini.Course WHERE CoursePrefix = 'CDA' AND CourseNumber = '3201';</v>
      </c>
      <c r="O28" s="1" t="s">
        <v>890</v>
      </c>
      <c r="Q28" s="1" t="s">
        <v>484</v>
      </c>
      <c r="R28" s="1" t="s">
        <v>365</v>
      </c>
      <c r="U28" s="1" t="str">
        <f t="shared" si="4"/>
        <v xml:space="preserve">    (@COURSE_CDA_3201, @COURSE_CDA_3103, 'C');</v>
      </c>
      <c r="V28" s="1" t="str">
        <f t="shared" si="5"/>
        <v xml:space="preserve">    (@COURSE_CDA_3201, @COURSE_COP_3514, 'C');</v>
      </c>
      <c r="W28" s="1" t="str">
        <f t="shared" si="6"/>
        <v/>
      </c>
      <c r="Y28" s="1" t="s">
        <v>1702</v>
      </c>
      <c r="AA28" s="1" t="s">
        <v>390</v>
      </c>
      <c r="AB28" s="1" t="str">
        <f t="shared" si="7"/>
        <v xml:space="preserve">    (@COURSE_CDA_3201, @COURSE_CDA_3201L),</v>
      </c>
      <c r="AC28" s="1" t="s">
        <v>1845</v>
      </c>
    </row>
    <row r="29" spans="1:29" x14ac:dyDescent="0.3">
      <c r="A29" s="1" t="s">
        <v>48</v>
      </c>
      <c r="B29" s="1" t="s">
        <v>53</v>
      </c>
      <c r="C29" s="1" t="s">
        <v>54</v>
      </c>
      <c r="D29" s="1">
        <v>1</v>
      </c>
      <c r="F29" s="1" t="s">
        <v>374</v>
      </c>
      <c r="G29" s="1" t="s">
        <v>391</v>
      </c>
      <c r="I29" s="1" t="str">
        <f t="shared" si="1"/>
        <v xml:space="preserve">    ('CDA', '3201L', 'Computer Logic and Design Lab ', 1, 'Laboratory component of the Computer Logic and Design class.', 3000),</v>
      </c>
      <c r="K29" s="1" t="str">
        <f t="shared" si="2"/>
        <v xml:space="preserve">    @COURSE_CDA_3201L INT,</v>
      </c>
      <c r="M29" s="1" t="str">
        <f t="shared" si="3"/>
        <v>SELECT @COURSE_CDA_3201L = CourseID FROM Bellini.Course WHERE CoursePrefix = 'CDA' AND CourseNumber = '3201L';</v>
      </c>
      <c r="O29" s="1" t="s">
        <v>855</v>
      </c>
      <c r="U29" s="1" t="str">
        <f t="shared" si="4"/>
        <v/>
      </c>
      <c r="V29" s="1" t="str">
        <f t="shared" si="5"/>
        <v/>
      </c>
      <c r="W29" s="1" t="str">
        <f t="shared" si="6"/>
        <v/>
      </c>
      <c r="Y29" s="1" t="s">
        <v>1703</v>
      </c>
      <c r="AA29" s="1" t="s">
        <v>374</v>
      </c>
      <c r="AB29" s="1" t="str">
        <f t="shared" si="7"/>
        <v xml:space="preserve">    (@COURSE_CDA_3201L, @COURSE_CDA_3201),</v>
      </c>
      <c r="AC29" s="1" t="s">
        <v>1846</v>
      </c>
    </row>
    <row r="30" spans="1:29" x14ac:dyDescent="0.3">
      <c r="A30" s="1" t="s">
        <v>48</v>
      </c>
      <c r="B30" s="1" t="s">
        <v>55</v>
      </c>
      <c r="C30" s="1" t="s">
        <v>56</v>
      </c>
      <c r="D30" s="1">
        <v>3</v>
      </c>
      <c r="E30" s="1" t="s">
        <v>399</v>
      </c>
      <c r="G30" s="1" t="s">
        <v>398</v>
      </c>
      <c r="I30" s="1" t="str">
        <f t="shared" si="1"/>
        <v xml:space="preserve">    ('CDA', '4203', 'Computer System Design', 3, 'Design Methods, Top-Down design, Building Blocks, Instruction and addressing models, minicomputer design, interfacing.', 4000),</v>
      </c>
      <c r="K30" s="1" t="str">
        <f t="shared" si="2"/>
        <v xml:space="preserve">    @COURSE_CDA_4203  INT,</v>
      </c>
      <c r="M30" s="1" t="str">
        <f t="shared" si="3"/>
        <v>SELECT @COURSE_CDA_4203  = CourseID FROM Bellini.Course WHERE CoursePrefix = 'CDA' AND CourseNumber = '4203';</v>
      </c>
      <c r="O30" s="1" t="s">
        <v>891</v>
      </c>
      <c r="Q30" s="1" t="s">
        <v>374</v>
      </c>
      <c r="R30" s="1" t="s">
        <v>390</v>
      </c>
      <c r="U30" s="1" t="str">
        <f t="shared" si="4"/>
        <v xml:space="preserve">    (@COURSE_CDA_4203, @COURSE_CDA_3201, 'C');</v>
      </c>
      <c r="V30" s="1" t="str">
        <f t="shared" si="5"/>
        <v xml:space="preserve">    (@COURSE_CDA_4203, @COURSE_CDA_3201L, 'C');</v>
      </c>
      <c r="W30" s="1" t="str">
        <f t="shared" si="6"/>
        <v/>
      </c>
      <c r="Y30" s="1" t="s">
        <v>1704</v>
      </c>
      <c r="AA30" s="1" t="s">
        <v>1291</v>
      </c>
      <c r="AB30" s="1" t="str">
        <f t="shared" si="7"/>
        <v/>
      </c>
      <c r="AC30" s="1" t="s">
        <v>1847</v>
      </c>
    </row>
    <row r="31" spans="1:29" x14ac:dyDescent="0.3">
      <c r="A31" s="1" t="s">
        <v>48</v>
      </c>
      <c r="B31" s="1" t="s">
        <v>57</v>
      </c>
      <c r="C31" s="1" t="s">
        <v>58</v>
      </c>
      <c r="D31" s="1">
        <v>1</v>
      </c>
      <c r="F31" s="1" t="s">
        <v>392</v>
      </c>
      <c r="G31" s="1" t="s">
        <v>400</v>
      </c>
      <c r="I31" s="1" t="str">
        <f t="shared" si="1"/>
        <v xml:space="preserve">    ('CDA', '4203L', 'Computer System Design Lab ', 1, 'This lab introduces the student to the concept of system design. Several projects are given including building timing circuits, memory-based and communication circuits, and microcomputer-based designs.', 4000),</v>
      </c>
      <c r="K31" s="1" t="str">
        <f t="shared" si="2"/>
        <v xml:space="preserve">    @COURSE_CDA_4203L INT,</v>
      </c>
      <c r="M31" s="1" t="str">
        <f t="shared" si="3"/>
        <v>SELECT @COURSE_CDA_4203L = CourseID FROM Bellini.Course WHERE CoursePrefix = 'CDA' AND CourseNumber = '4203L';</v>
      </c>
      <c r="O31" s="1" t="s">
        <v>856</v>
      </c>
      <c r="U31" s="1" t="str">
        <f t="shared" si="4"/>
        <v/>
      </c>
      <c r="V31" s="1" t="str">
        <f t="shared" si="5"/>
        <v/>
      </c>
      <c r="W31" s="1" t="str">
        <f t="shared" si="6"/>
        <v/>
      </c>
      <c r="Y31" s="1" t="s">
        <v>1705</v>
      </c>
      <c r="AA31" s="1" t="s">
        <v>392</v>
      </c>
      <c r="AB31" s="1" t="str">
        <f t="shared" si="7"/>
        <v xml:space="preserve">    (@COURSE_CDA_4203L, @COURSE_CDA_4203),</v>
      </c>
      <c r="AC31" s="1" t="s">
        <v>1848</v>
      </c>
    </row>
    <row r="32" spans="1:29" x14ac:dyDescent="0.3">
      <c r="A32" s="1" t="s">
        <v>48</v>
      </c>
      <c r="B32" s="1" t="s">
        <v>59</v>
      </c>
      <c r="C32" s="1" t="s">
        <v>60</v>
      </c>
      <c r="D32" s="1">
        <v>3</v>
      </c>
      <c r="E32" s="1" t="s">
        <v>399</v>
      </c>
      <c r="G32" s="1" t="s">
        <v>401</v>
      </c>
      <c r="I32" s="1" t="str">
        <f t="shared" si="1"/>
        <v xml:space="preserve">    ('CDA', '4205', 'Computer Architecture', 3, 'Principles of the design of computer systems, processors, memories, and switches. Consideration of the register transfer representation of a computer, ALU's and their implementation, control units, memory and I/O, and the hardware support of operation systems.', 4000),</v>
      </c>
      <c r="K32" s="1" t="str">
        <f t="shared" si="2"/>
        <v xml:space="preserve">    @COURSE_CDA_4205  INT,</v>
      </c>
      <c r="M32" s="1" t="str">
        <f t="shared" si="3"/>
        <v>SELECT @COURSE_CDA_4205  = CourseID FROM Bellini.Course WHERE CoursePrefix = 'CDA' AND CourseNumber = '4205';</v>
      </c>
      <c r="O32" s="1" t="s">
        <v>892</v>
      </c>
      <c r="Q32" s="1" t="s">
        <v>374</v>
      </c>
      <c r="R32" s="1" t="s">
        <v>390</v>
      </c>
      <c r="U32" s="1" t="str">
        <f t="shared" si="4"/>
        <v xml:space="preserve">    (@COURSE_CDA_4205, @COURSE_CDA_3201, 'C');</v>
      </c>
      <c r="V32" s="1" t="str">
        <f t="shared" si="5"/>
        <v xml:space="preserve">    (@COURSE_CDA_4205, @COURSE_CDA_3201L, 'C');</v>
      </c>
      <c r="W32" s="1" t="str">
        <f t="shared" si="6"/>
        <v/>
      </c>
      <c r="Y32" s="1" t="s">
        <v>1706</v>
      </c>
      <c r="AA32" s="1" t="s">
        <v>1291</v>
      </c>
      <c r="AB32" s="1" t="str">
        <f t="shared" si="7"/>
        <v/>
      </c>
    </row>
    <row r="33" spans="1:29" x14ac:dyDescent="0.3">
      <c r="A33" s="1" t="s">
        <v>48</v>
      </c>
      <c r="B33" s="1" t="s">
        <v>61</v>
      </c>
      <c r="C33" s="1" t="s">
        <v>62</v>
      </c>
      <c r="D33" s="1">
        <v>1</v>
      </c>
      <c r="E33" s="1" t="s">
        <v>374</v>
      </c>
      <c r="F33" s="1" t="s">
        <v>393</v>
      </c>
      <c r="G33" s="1" t="s">
        <v>402</v>
      </c>
      <c r="I33" s="1" t="str">
        <f t="shared" si="1"/>
        <v xml:space="preserve">    ('CDA', '4205L', 'Computer Architecture Lab ', 1, 'Laboratory component of the Computer Architecture class.', 4000),</v>
      </c>
      <c r="K33" s="1" t="str">
        <f t="shared" si="2"/>
        <v xml:space="preserve">    @COURSE_CDA_4205L INT,</v>
      </c>
      <c r="M33" s="1" t="str">
        <f t="shared" si="3"/>
        <v>SELECT @COURSE_CDA_4205L = CourseID FROM Bellini.Course WHERE CoursePrefix = 'CDA' AND CourseNumber = '4205L';</v>
      </c>
      <c r="O33" s="1" t="s">
        <v>857</v>
      </c>
      <c r="Q33" s="1" t="s">
        <v>374</v>
      </c>
      <c r="U33" s="1" t="str">
        <f t="shared" si="4"/>
        <v xml:space="preserve">    (@COURSE_CDA_4205L, @COURSE_CDA_3201, 'C');</v>
      </c>
      <c r="V33" s="1" t="str">
        <f t="shared" si="5"/>
        <v/>
      </c>
      <c r="W33" s="1" t="str">
        <f t="shared" si="6"/>
        <v/>
      </c>
      <c r="Y33" s="1" t="s">
        <v>1707</v>
      </c>
      <c r="AA33" s="1" t="s">
        <v>393</v>
      </c>
      <c r="AB33" s="1" t="str">
        <f t="shared" si="7"/>
        <v xml:space="preserve">    (@COURSE_CDA_4205L, @COURSE_CDA_4205),</v>
      </c>
    </row>
    <row r="34" spans="1:29" x14ac:dyDescent="0.3">
      <c r="A34" s="1" t="s">
        <v>48</v>
      </c>
      <c r="B34" s="1" t="s">
        <v>63</v>
      </c>
      <c r="C34" s="1" t="s">
        <v>64</v>
      </c>
      <c r="D34" s="1">
        <v>3</v>
      </c>
      <c r="E34" s="1" t="s">
        <v>399</v>
      </c>
      <c r="G34" s="1" t="s">
        <v>403</v>
      </c>
      <c r="I34" s="1" t="str">
        <f t="shared" si="1"/>
        <v xml:space="preserve">    ('CDA', '4213', 'CMOS-VLSI Design', 3, 'Covers analysis and design of CMOS processing technology, CMOS logic and circuit design, layout timing and delay, and power and thermal issues. CMOS transistor theory. VLSI system design, case studies and rapid prototype chip design.', 4000),</v>
      </c>
      <c r="K34" s="1" t="str">
        <f t="shared" si="2"/>
        <v xml:space="preserve">    @COURSE_CDA_4213  INT,</v>
      </c>
      <c r="M34" s="1" t="str">
        <f t="shared" si="3"/>
        <v>SELECT @COURSE_CDA_4213  = CourseID FROM Bellini.Course WHERE CoursePrefix = 'CDA' AND CourseNumber = '4213';</v>
      </c>
      <c r="O34" s="1" t="s">
        <v>893</v>
      </c>
      <c r="Q34" s="1" t="s">
        <v>374</v>
      </c>
      <c r="R34" s="1" t="s">
        <v>390</v>
      </c>
      <c r="U34" s="1" t="str">
        <f t="shared" si="4"/>
        <v xml:space="preserve">    (@COURSE_CDA_4213, @COURSE_CDA_3201, 'C');</v>
      </c>
      <c r="V34" s="1" t="str">
        <f t="shared" si="5"/>
        <v xml:space="preserve">    (@COURSE_CDA_4213, @COURSE_CDA_3201L, 'C');</v>
      </c>
      <c r="W34" s="1" t="str">
        <f t="shared" si="6"/>
        <v/>
      </c>
      <c r="Y34" s="1" t="s">
        <v>1708</v>
      </c>
      <c r="AA34" s="1" t="s">
        <v>1291</v>
      </c>
      <c r="AB34" s="1" t="str">
        <f t="shared" si="7"/>
        <v/>
      </c>
    </row>
    <row r="35" spans="1:29" x14ac:dyDescent="0.3">
      <c r="A35" s="1" t="s">
        <v>48</v>
      </c>
      <c r="B35" s="1" t="s">
        <v>65</v>
      </c>
      <c r="C35" s="1" t="s">
        <v>66</v>
      </c>
      <c r="D35" s="1">
        <v>1</v>
      </c>
      <c r="E35" s="1" t="s">
        <v>399</v>
      </c>
      <c r="F35" s="1" t="s">
        <v>394</v>
      </c>
      <c r="G35" s="1" t="s">
        <v>404</v>
      </c>
      <c r="I35" s="1" t="str">
        <f t="shared" si="1"/>
        <v xml:space="preserve">    ('CDA', '4213L', 'CMOS-VLSI Design Lab ', 1, 'Scalable CMOS layout design, circuit extraction, transistor-level and lay-out level simulation, SPICE parameters/modeling, transistor sizing, standard and macro-cell based layout, static/dynamic CMOS, combinational/sequential block layout, memory I/O design.', 4000),</v>
      </c>
      <c r="K35" s="1" t="str">
        <f t="shared" si="2"/>
        <v xml:space="preserve">    @COURSE_CDA_4213L INT,</v>
      </c>
      <c r="M35" s="1" t="str">
        <f t="shared" si="3"/>
        <v>SELECT @COURSE_CDA_4213L = CourseID FROM Bellini.Course WHERE CoursePrefix = 'CDA' AND CourseNumber = '4213L';</v>
      </c>
      <c r="O35" s="1" t="s">
        <v>858</v>
      </c>
      <c r="Q35" s="1" t="s">
        <v>374</v>
      </c>
      <c r="R35" s="1" t="s">
        <v>390</v>
      </c>
      <c r="U35" s="1" t="str">
        <f t="shared" si="4"/>
        <v xml:space="preserve">    (@COURSE_CDA_4213L, @COURSE_CDA_3201, 'C');</v>
      </c>
      <c r="V35" s="1" t="str">
        <f t="shared" si="5"/>
        <v xml:space="preserve">    (@COURSE_CDA_4213L, @COURSE_CDA_3201L, 'C');</v>
      </c>
      <c r="W35" s="1" t="str">
        <f t="shared" si="6"/>
        <v/>
      </c>
      <c r="Y35" s="1" t="s">
        <v>1709</v>
      </c>
      <c r="AA35" s="1" t="s">
        <v>394</v>
      </c>
      <c r="AB35" s="1" t="str">
        <f t="shared" si="7"/>
        <v xml:space="preserve">    (@COURSE_CDA_4213L, @COURSE_CDA_4213),</v>
      </c>
    </row>
    <row r="36" spans="1:29" x14ac:dyDescent="0.3">
      <c r="A36" s="1" t="s">
        <v>48</v>
      </c>
      <c r="B36" s="1" t="s">
        <v>67</v>
      </c>
      <c r="C36" s="1" t="s">
        <v>68</v>
      </c>
      <c r="D36" s="1">
        <v>3</v>
      </c>
      <c r="E36" s="1" t="s">
        <v>399</v>
      </c>
      <c r="G36" s="1" t="s">
        <v>405</v>
      </c>
      <c r="I36" s="1" t="str">
        <f t="shared" si="1"/>
        <v xml:space="preserve">    ('CDA', '4253', 'Field Programmable Gate Array System Design and Analysis', 3, 'Covers analysis and design of digital systems using VHDL simulation. Provides experience with field programmable logic gates and gate arrays. Introduces the requirements for field programmable systems; testing of circuitry, and analysis of system design.', 4000),</v>
      </c>
      <c r="K36" s="1" t="str">
        <f t="shared" si="2"/>
        <v xml:space="preserve">    @COURSE_CDA_4253  INT,</v>
      </c>
      <c r="M36" s="1" t="str">
        <f t="shared" si="3"/>
        <v>SELECT @COURSE_CDA_4253  = CourseID FROM Bellini.Course WHERE CoursePrefix = 'CDA' AND CourseNumber = '4253';</v>
      </c>
      <c r="O36" s="1" t="s">
        <v>894</v>
      </c>
      <c r="Q36" s="1" t="s">
        <v>374</v>
      </c>
      <c r="R36" s="1" t="s">
        <v>390</v>
      </c>
      <c r="U36" s="1" t="str">
        <f t="shared" si="4"/>
        <v xml:space="preserve">    (@COURSE_CDA_4253, @COURSE_CDA_3201, 'C');</v>
      </c>
      <c r="V36" s="1" t="str">
        <f t="shared" si="5"/>
        <v xml:space="preserve">    (@COURSE_CDA_4253, @COURSE_CDA_3201L, 'C');</v>
      </c>
      <c r="W36" s="1" t="str">
        <f t="shared" si="6"/>
        <v/>
      </c>
      <c r="Y36" s="1" t="s">
        <v>1710</v>
      </c>
      <c r="AA36" s="1" t="s">
        <v>1291</v>
      </c>
      <c r="AB36" s="1" t="str">
        <f t="shared" si="7"/>
        <v/>
      </c>
      <c r="AC36" s="1" t="s">
        <v>1291</v>
      </c>
    </row>
    <row r="37" spans="1:29" x14ac:dyDescent="0.3">
      <c r="A37" s="1" t="s">
        <v>48</v>
      </c>
      <c r="B37" s="1" t="s">
        <v>69</v>
      </c>
      <c r="C37" s="1" t="s">
        <v>70</v>
      </c>
      <c r="D37" s="1">
        <v>3</v>
      </c>
      <c r="E37" s="1" t="s">
        <v>374</v>
      </c>
      <c r="G37" s="1" t="s">
        <v>408</v>
      </c>
      <c r="I37" s="1" t="str">
        <f t="shared" si="1"/>
        <v xml:space="preserve">    ('CDA', '4321', 'Cryptographic Hardware and Embedded Systems', 3, 'Efficient hardware implementation of cryptographic algorithms is presented to meet the performance and cost requirements of computing platforms from handheld to server-level computers. Cryptographic implementation attacks and countermeasures are covered.', 4000),</v>
      </c>
      <c r="K37" s="1" t="str">
        <f t="shared" si="2"/>
        <v xml:space="preserve">    @COURSE_CDA_4321  INT,</v>
      </c>
      <c r="M37" s="1" t="str">
        <f t="shared" si="3"/>
        <v>SELECT @COURSE_CDA_4321  = CourseID FROM Bellini.Course WHERE CoursePrefix = 'CDA' AND CourseNumber = '4321';</v>
      </c>
      <c r="O37" s="1" t="s">
        <v>895</v>
      </c>
      <c r="Q37" s="1" t="s">
        <v>374</v>
      </c>
      <c r="U37" s="1" t="str">
        <f t="shared" si="4"/>
        <v xml:space="preserve">    (@COURSE_CDA_4321, @COURSE_CDA_3201, 'C');</v>
      </c>
      <c r="V37" s="1" t="str">
        <f t="shared" si="5"/>
        <v/>
      </c>
      <c r="W37" s="1" t="str">
        <f t="shared" si="6"/>
        <v/>
      </c>
      <c r="Y37" s="1" t="s">
        <v>1711</v>
      </c>
      <c r="AA37" s="1" t="s">
        <v>1291</v>
      </c>
      <c r="AB37" s="1" t="str">
        <f t="shared" si="7"/>
        <v/>
      </c>
      <c r="AC37" s="1" t="s">
        <v>1291</v>
      </c>
    </row>
    <row r="38" spans="1:29" x14ac:dyDescent="0.3">
      <c r="A38" s="1" t="s">
        <v>48</v>
      </c>
      <c r="B38" s="1" t="s">
        <v>71</v>
      </c>
      <c r="C38" s="1" t="s">
        <v>72</v>
      </c>
      <c r="D38" s="1">
        <v>3</v>
      </c>
      <c r="E38" s="1" t="s">
        <v>399</v>
      </c>
      <c r="G38" s="1" t="s">
        <v>409</v>
      </c>
      <c r="I38" s="1" t="str">
        <f t="shared" si="1"/>
        <v xml:space="preserve">    ('CDA', '4322', 'Principles of Secure Hardware Design', 3, 'This course introduces the fundamentals of hardware security for integrated circuits, intellectual property, and reconfigurable devices, including hardware security primitives, Trojans, physical and side-channel attacks, and emerging countermeasures.', 4000),</v>
      </c>
      <c r="K38" s="1" t="str">
        <f t="shared" si="2"/>
        <v xml:space="preserve">    @COURSE_CDA_4322  INT,</v>
      </c>
      <c r="M38" s="1" t="str">
        <f t="shared" si="3"/>
        <v>SELECT @COURSE_CDA_4322  = CourseID FROM Bellini.Course WHERE CoursePrefix = 'CDA' AND CourseNumber = '4322';</v>
      </c>
      <c r="O38" s="1" t="s">
        <v>896</v>
      </c>
      <c r="Q38" s="1" t="s">
        <v>374</v>
      </c>
      <c r="R38" s="1" t="s">
        <v>390</v>
      </c>
      <c r="U38" s="1" t="str">
        <f t="shared" si="4"/>
        <v xml:space="preserve">    (@COURSE_CDA_4322, @COURSE_CDA_3201, 'C');</v>
      </c>
      <c r="V38" s="1" t="str">
        <f t="shared" si="5"/>
        <v xml:space="preserve">    (@COURSE_CDA_4322, @COURSE_CDA_3201L, 'C');</v>
      </c>
      <c r="W38" s="1" t="str">
        <f t="shared" si="6"/>
        <v/>
      </c>
      <c r="Y38" s="1" t="s">
        <v>1712</v>
      </c>
      <c r="AA38" s="1" t="s">
        <v>1291</v>
      </c>
      <c r="AB38" s="1" t="str">
        <f t="shared" si="7"/>
        <v/>
      </c>
      <c r="AC38" s="1" t="s">
        <v>1291</v>
      </c>
    </row>
    <row r="39" spans="1:29" x14ac:dyDescent="0.3">
      <c r="A39" s="1" t="s">
        <v>48</v>
      </c>
      <c r="B39" s="1" t="s">
        <v>73</v>
      </c>
      <c r="C39" s="1" t="s">
        <v>74</v>
      </c>
      <c r="D39" s="1">
        <v>3</v>
      </c>
      <c r="E39" s="1" t="s">
        <v>399</v>
      </c>
      <c r="G39" s="1" t="s">
        <v>410</v>
      </c>
      <c r="I39" s="1" t="str">
        <f t="shared" si="1"/>
        <v xml:space="preserve">    ('CDA', '4323', 'Practical Hardware Security', 3, 'This course introduces practical aspects of hardware security for integrated circuits and reconfigurable hardware, with hands-on assignments introducing physical, side channel, and system-level attacks and countermeasures.', 4000),</v>
      </c>
      <c r="K39" s="1" t="str">
        <f t="shared" si="2"/>
        <v xml:space="preserve">    @COURSE_CDA_4323  INT,</v>
      </c>
      <c r="M39" s="1" t="str">
        <f t="shared" si="3"/>
        <v>SELECT @COURSE_CDA_4323  = CourseID FROM Bellini.Course WHERE CoursePrefix = 'CDA' AND CourseNumber = '4323';</v>
      </c>
      <c r="O39" s="1" t="s">
        <v>897</v>
      </c>
      <c r="Q39" s="1" t="s">
        <v>374</v>
      </c>
      <c r="R39" s="1" t="s">
        <v>390</v>
      </c>
      <c r="U39" s="1" t="str">
        <f t="shared" si="4"/>
        <v xml:space="preserve">    (@COURSE_CDA_4323, @COURSE_CDA_3201, 'C');</v>
      </c>
      <c r="V39" s="1" t="str">
        <f t="shared" si="5"/>
        <v xml:space="preserve">    (@COURSE_CDA_4323, @COURSE_CDA_3201L, 'C');</v>
      </c>
      <c r="W39" s="1" t="str">
        <f t="shared" si="6"/>
        <v/>
      </c>
      <c r="Y39" s="1" t="s">
        <v>1713</v>
      </c>
      <c r="AA39" s="1" t="s">
        <v>1291</v>
      </c>
      <c r="AB39" s="1" t="str">
        <f t="shared" si="7"/>
        <v/>
      </c>
      <c r="AC39" s="1" t="s">
        <v>1291</v>
      </c>
    </row>
    <row r="40" spans="1:29" x14ac:dyDescent="0.3">
      <c r="A40" s="1" t="s">
        <v>48</v>
      </c>
      <c r="B40" s="1" t="s">
        <v>34</v>
      </c>
      <c r="C40" s="1" t="s">
        <v>75</v>
      </c>
      <c r="D40" s="1">
        <v>3</v>
      </c>
      <c r="E40" s="1" t="s">
        <v>374</v>
      </c>
      <c r="G40" s="1" t="s">
        <v>411</v>
      </c>
      <c r="I40" s="1" t="str">
        <f t="shared" si="1"/>
        <v xml:space="preserve">    ('CDA', '4621', 'Control of Mobile Robots', 3, 'Mobile Robotic Control Systems design and implementation. Includes microcontroller, sensor, and actuator control processes for localization and navigation. Team project development of software interface for robot control.', 4000),</v>
      </c>
      <c r="K40" s="1" t="str">
        <f t="shared" si="2"/>
        <v xml:space="preserve">    @COURSE_CDA_4621  INT,</v>
      </c>
      <c r="M40" s="1" t="str">
        <f t="shared" si="3"/>
        <v>SELECT @COURSE_CDA_4621  = CourseID FROM Bellini.Course WHERE CoursePrefix = 'CDA' AND CourseNumber = '4621';</v>
      </c>
      <c r="O40" s="1" t="s">
        <v>898</v>
      </c>
      <c r="Q40" s="1" t="s">
        <v>374</v>
      </c>
      <c r="U40" s="1" t="str">
        <f t="shared" si="4"/>
        <v xml:space="preserve">    (@COURSE_CDA_4621, @COURSE_CDA_3201, 'C');</v>
      </c>
      <c r="V40" s="1" t="str">
        <f t="shared" si="5"/>
        <v/>
      </c>
      <c r="W40" s="1" t="str">
        <f t="shared" si="6"/>
        <v/>
      </c>
      <c r="Y40" s="1" t="s">
        <v>1714</v>
      </c>
      <c r="AA40" s="1" t="s">
        <v>1291</v>
      </c>
      <c r="AB40" s="1" t="str">
        <f t="shared" si="7"/>
        <v/>
      </c>
      <c r="AC40" s="1" t="s">
        <v>1291</v>
      </c>
    </row>
    <row r="41" spans="1:29" x14ac:dyDescent="0.3">
      <c r="A41" s="1" t="s">
        <v>76</v>
      </c>
      <c r="B41" s="1" t="s">
        <v>77</v>
      </c>
      <c r="C41" s="1" t="s">
        <v>78</v>
      </c>
      <c r="D41" s="1">
        <v>3</v>
      </c>
      <c r="E41" s="1" t="s">
        <v>372</v>
      </c>
      <c r="G41" s="1" t="s">
        <v>412</v>
      </c>
      <c r="I41" s="1" t="str">
        <f t="shared" si="1"/>
        <v xml:space="preserve">    ('CEN', '3722', 'Human Computer Interfaces for Information Technology', 3, 'The basics of HCI in terms of psychology, computers, and their integration into design and practice are discussed. A life-cycle development framework is presented where user needs, functionality, interaction, and usability are taken into account.', 3000),</v>
      </c>
      <c r="K41" s="1" t="str">
        <f t="shared" si="2"/>
        <v xml:space="preserve">    @COURSE_CEN_3722  INT,</v>
      </c>
      <c r="M41" s="1" t="str">
        <f t="shared" si="3"/>
        <v>SELECT @COURSE_CEN_3722  = CourseID FROM Bellini.Course WHERE CoursePrefix = 'CEN' AND CourseNumber = '3722';</v>
      </c>
      <c r="O41" s="1" t="s">
        <v>899</v>
      </c>
      <c r="Q41" s="1" t="s">
        <v>372</v>
      </c>
      <c r="U41" s="1" t="str">
        <f t="shared" si="4"/>
        <v xml:space="preserve">    (@COURSE_CEN_3722, @COURSE_COP_3515, 'C');</v>
      </c>
      <c r="V41" s="1" t="str">
        <f t="shared" si="5"/>
        <v/>
      </c>
      <c r="W41" s="1" t="str">
        <f t="shared" si="6"/>
        <v/>
      </c>
      <c r="Y41" s="1" t="s">
        <v>1715</v>
      </c>
      <c r="AA41" s="1" t="s">
        <v>1291</v>
      </c>
      <c r="AB41" s="1" t="str">
        <f t="shared" si="7"/>
        <v/>
      </c>
      <c r="AC41" s="1" t="s">
        <v>1291</v>
      </c>
    </row>
    <row r="42" spans="1:29" x14ac:dyDescent="0.3">
      <c r="A42" s="1" t="s">
        <v>76</v>
      </c>
      <c r="B42" s="1" t="s">
        <v>79</v>
      </c>
      <c r="C42" s="1" t="s">
        <v>80</v>
      </c>
      <c r="D42" s="1">
        <v>3</v>
      </c>
      <c r="E42" s="1" t="s">
        <v>366</v>
      </c>
      <c r="G42" s="1" t="s">
        <v>413</v>
      </c>
      <c r="I42" s="1" t="str">
        <f t="shared" si="1"/>
        <v xml:space="preserve">    ('CEN', '4020', 'Software Engineering', 3, 'An overview of software engineering techniques for producing high quality software. Student will participate in a software development team.', 4000),</v>
      </c>
      <c r="K42" s="1" t="str">
        <f t="shared" si="2"/>
        <v xml:space="preserve">    @COURSE_CEN_4020  INT,</v>
      </c>
      <c r="M42" s="1" t="str">
        <f t="shared" si="3"/>
        <v>SELECT @COURSE_CEN_4020  = CourseID FROM Bellini.Course WHERE CoursePrefix = 'CEN' AND CourseNumber = '4020';</v>
      </c>
      <c r="O42" s="1" t="s">
        <v>900</v>
      </c>
      <c r="Q42" s="1" t="s">
        <v>366</v>
      </c>
      <c r="U42" s="1" t="str">
        <f t="shared" si="4"/>
        <v xml:space="preserve">    (@COURSE_CEN_4020, @COURSE_COP_4530, 'C');</v>
      </c>
      <c r="V42" s="1" t="str">
        <f t="shared" si="5"/>
        <v/>
      </c>
      <c r="W42" s="1" t="str">
        <f t="shared" si="6"/>
        <v/>
      </c>
      <c r="Y42" s="1" t="s">
        <v>1716</v>
      </c>
      <c r="AA42" s="1" t="s">
        <v>1291</v>
      </c>
      <c r="AB42" s="1" t="str">
        <f t="shared" si="7"/>
        <v/>
      </c>
      <c r="AC42" s="1" t="s">
        <v>1291</v>
      </c>
    </row>
    <row r="43" spans="1:29" x14ac:dyDescent="0.3">
      <c r="A43" s="1" t="s">
        <v>76</v>
      </c>
      <c r="B43" s="1" t="s">
        <v>81</v>
      </c>
      <c r="C43" s="1" t="s">
        <v>82</v>
      </c>
      <c r="D43" s="1">
        <v>3</v>
      </c>
      <c r="E43" s="1" t="s">
        <v>415</v>
      </c>
      <c r="G43" s="1" t="s">
        <v>414</v>
      </c>
      <c r="I43" s="1" t="str">
        <f t="shared" si="1"/>
        <v xml:space="preserve">    ('CEN', '4072', 'Software Testing', 3, 'The course provides the fundamental principles and tools for testing and validating large-scale software systems. The course is open to majors as well as non-majors.', 4000),</v>
      </c>
      <c r="K43" s="1" t="str">
        <f t="shared" si="2"/>
        <v xml:space="preserve">    @COURSE_CEN_4072  INT,</v>
      </c>
      <c r="M43" s="1" t="str">
        <f t="shared" si="3"/>
        <v>SELECT @COURSE_CEN_4072  = CourseID FROM Bellini.Course WHERE CoursePrefix = 'CEN' AND CourseNumber = '4072';</v>
      </c>
      <c r="O43" s="1" t="s">
        <v>901</v>
      </c>
      <c r="Q43" s="1" t="s">
        <v>387</v>
      </c>
      <c r="R43" s="1" t="s">
        <v>366</v>
      </c>
      <c r="U43" s="1" t="str">
        <f t="shared" si="4"/>
        <v xml:space="preserve">    (@COURSE_CEN_4072, @COURSE_COP_2510, 'C');</v>
      </c>
      <c r="V43" s="1" t="str">
        <f t="shared" si="5"/>
        <v xml:space="preserve">    (@COURSE_CEN_4072, @COURSE_COP_4530, 'C');</v>
      </c>
      <c r="W43" s="1" t="str">
        <f t="shared" si="6"/>
        <v/>
      </c>
      <c r="Y43" s="1" t="s">
        <v>1717</v>
      </c>
      <c r="AA43" s="1" t="s">
        <v>1291</v>
      </c>
      <c r="AB43" s="1" t="str">
        <f t="shared" si="7"/>
        <v/>
      </c>
      <c r="AC43" s="1" t="s">
        <v>1291</v>
      </c>
    </row>
    <row r="44" spans="1:29" x14ac:dyDescent="0.3">
      <c r="A44" s="1" t="s">
        <v>76</v>
      </c>
      <c r="B44" s="1" t="s">
        <v>83</v>
      </c>
      <c r="C44" s="1" t="s">
        <v>84</v>
      </c>
      <c r="D44" s="1">
        <v>3</v>
      </c>
      <c r="E44" s="1" t="s">
        <v>372</v>
      </c>
      <c r="G44" s="1" t="s">
        <v>416</v>
      </c>
      <c r="I44" s="1" t="str">
        <f t="shared" si="1"/>
        <v xml:space="preserve">    ('CEN', '4360', 'Mobile Applications Development for IT', 3, 'The development architecture for mobile apps is presented as are a number of development tools. Students design and implement mobile apps of varying complexity with a focus on the project development process.', 4000),</v>
      </c>
      <c r="K44" s="1" t="str">
        <f t="shared" si="2"/>
        <v xml:space="preserve">    @COURSE_CEN_4360  INT,</v>
      </c>
      <c r="M44" s="1" t="str">
        <f t="shared" si="3"/>
        <v>SELECT @COURSE_CEN_4360  = CourseID FROM Bellini.Course WHERE CoursePrefix = 'CEN' AND CourseNumber = '4360';</v>
      </c>
      <c r="O44" s="1" t="s">
        <v>902</v>
      </c>
      <c r="Q44" s="1" t="s">
        <v>372</v>
      </c>
      <c r="U44" s="1" t="str">
        <f t="shared" si="4"/>
        <v xml:space="preserve">    (@COURSE_CEN_4360, @COURSE_COP_3515, 'C');</v>
      </c>
      <c r="V44" s="1" t="str">
        <f t="shared" si="5"/>
        <v/>
      </c>
      <c r="W44" s="1" t="str">
        <f t="shared" si="6"/>
        <v/>
      </c>
      <c r="Y44" s="1" t="s">
        <v>1718</v>
      </c>
      <c r="AA44" s="1" t="s">
        <v>1291</v>
      </c>
      <c r="AB44" s="1" t="str">
        <f t="shared" si="7"/>
        <v/>
      </c>
      <c r="AC44" s="1" t="s">
        <v>1291</v>
      </c>
    </row>
    <row r="45" spans="1:29" x14ac:dyDescent="0.3">
      <c r="A45" s="1" t="s">
        <v>85</v>
      </c>
      <c r="B45" s="1" t="s">
        <v>86</v>
      </c>
      <c r="C45" s="1" t="s">
        <v>87</v>
      </c>
      <c r="D45" s="1">
        <v>3</v>
      </c>
      <c r="G45" s="1" t="s">
        <v>417</v>
      </c>
      <c r="I45" s="1" t="str">
        <f t="shared" si="1"/>
        <v xml:space="preserve">    ('CGS', '1540', 'Introduction to Databases for Information Technology', 3, 'An introduction to databases, their uses, design, and implementation with IT applications. Query languages, data organization, and modeling are covered. The course emphasizes standard practices for managing information.', 1000),</v>
      </c>
      <c r="K45" s="1" t="str">
        <f t="shared" si="2"/>
        <v xml:space="preserve">    @COURSE_CGS_1540  INT,</v>
      </c>
      <c r="M45" s="1" t="str">
        <f t="shared" si="3"/>
        <v>SELECT @COURSE_CGS_1540  = CourseID FROM Bellini.Course WHERE CoursePrefix = 'CGS' AND CourseNumber = '1540';</v>
      </c>
      <c r="O45" s="1" t="s">
        <v>903</v>
      </c>
      <c r="U45" s="1" t="str">
        <f t="shared" si="4"/>
        <v/>
      </c>
      <c r="V45" s="1" t="str">
        <f t="shared" si="5"/>
        <v/>
      </c>
      <c r="W45" s="1" t="str">
        <f t="shared" si="6"/>
        <v/>
      </c>
      <c r="Y45" s="1" t="s">
        <v>1719</v>
      </c>
      <c r="AA45" s="1" t="s">
        <v>1291</v>
      </c>
      <c r="AB45" s="1" t="str">
        <f t="shared" si="7"/>
        <v/>
      </c>
      <c r="AC45" s="1" t="s">
        <v>1291</v>
      </c>
    </row>
    <row r="46" spans="1:29" x14ac:dyDescent="0.3">
      <c r="A46" s="1" t="s">
        <v>85</v>
      </c>
      <c r="B46" s="1">
        <v>2100</v>
      </c>
      <c r="C46" s="1" t="s">
        <v>548</v>
      </c>
      <c r="D46" s="1">
        <v>3</v>
      </c>
      <c r="G46" s="1" t="s">
        <v>549</v>
      </c>
      <c r="I46" s="1" t="str">
        <f t="shared" si="1"/>
        <v xml:space="preserve">    ('CGS', '2100', 'Computers in Business', 3, 'A study of the use and impact of computers in all areas of business organizations. Course includes hands-on experience and the use of software packages for business analysis', 2000),</v>
      </c>
      <c r="K46" s="1" t="str">
        <f t="shared" si="2"/>
        <v xml:space="preserve">    @COURSE_CGS_2100  INT,</v>
      </c>
      <c r="M46" s="1" t="str">
        <f t="shared" si="3"/>
        <v>SELECT @COURSE_CGS_2100  = CourseID FROM Bellini.Course WHERE CoursePrefix = 'CGS' AND CourseNumber = '2100';</v>
      </c>
      <c r="O46" s="1" t="s">
        <v>904</v>
      </c>
      <c r="U46" s="1" t="str">
        <f t="shared" si="4"/>
        <v/>
      </c>
      <c r="V46" s="1" t="str">
        <f t="shared" si="5"/>
        <v/>
      </c>
      <c r="W46" s="1" t="str">
        <f t="shared" si="6"/>
        <v/>
      </c>
      <c r="Y46" s="1" t="s">
        <v>1720</v>
      </c>
      <c r="AA46" s="1" t="s">
        <v>1291</v>
      </c>
      <c r="AB46" s="1" t="str">
        <f t="shared" si="7"/>
        <v/>
      </c>
      <c r="AC46" s="1" t="s">
        <v>1291</v>
      </c>
    </row>
    <row r="47" spans="1:29" x14ac:dyDescent="0.3">
      <c r="A47" s="1" t="s">
        <v>85</v>
      </c>
      <c r="B47" s="1" t="s">
        <v>88</v>
      </c>
      <c r="C47" s="1" t="s">
        <v>89</v>
      </c>
      <c r="D47" s="1">
        <v>3</v>
      </c>
      <c r="E47" s="1" t="s">
        <v>396</v>
      </c>
      <c r="G47" s="1" t="s">
        <v>418</v>
      </c>
      <c r="I47" s="1" t="str">
        <f t="shared" si="1"/>
        <v xml:space="preserve">    ('CGS', '3303', 'IT Concepts', 3, 'Elements of computers are discussed. Core areas of IT are introduced: human computer interaction, information management, networking, system administration and maintenance, system integration and architecture, and web systems and technologies.', 3000),</v>
      </c>
      <c r="K47" s="1" t="str">
        <f t="shared" si="2"/>
        <v xml:space="preserve">    @COURSE_CGS_3303  INT,</v>
      </c>
      <c r="M47" s="1" t="str">
        <f t="shared" si="3"/>
        <v>SELECT @COURSE_CGS_3303  = CourseID FROM Bellini.Course WHERE CoursePrefix = 'CGS' AND CourseNumber = '3303';</v>
      </c>
      <c r="O47" s="1" t="s">
        <v>905</v>
      </c>
      <c r="Q47" s="1" t="s">
        <v>396</v>
      </c>
      <c r="U47" s="1" t="str">
        <f t="shared" si="4"/>
        <v xml:space="preserve">    (@COURSE_CGS_3303, @COURSE_CGS_1540, 'C');</v>
      </c>
      <c r="V47" s="1" t="str">
        <f t="shared" si="5"/>
        <v/>
      </c>
      <c r="W47" s="1" t="str">
        <f t="shared" si="6"/>
        <v/>
      </c>
      <c r="Y47" s="1" t="s">
        <v>1721</v>
      </c>
      <c r="AA47" s="1" t="s">
        <v>1291</v>
      </c>
      <c r="AB47" s="1" t="str">
        <f t="shared" si="7"/>
        <v/>
      </c>
      <c r="AC47" s="1" t="s">
        <v>1291</v>
      </c>
    </row>
    <row r="48" spans="1:29" x14ac:dyDescent="0.3">
      <c r="A48" s="1" t="s">
        <v>85</v>
      </c>
      <c r="B48" s="1" t="s">
        <v>90</v>
      </c>
      <c r="C48" s="1" t="s">
        <v>91</v>
      </c>
      <c r="D48" s="1">
        <v>3</v>
      </c>
      <c r="E48" s="1" t="s">
        <v>395</v>
      </c>
      <c r="G48" s="1" t="s">
        <v>419</v>
      </c>
      <c r="I48" s="1" t="str">
        <f t="shared" si="1"/>
        <v xml:space="preserve">    ('CGS', '3853', 'Web Systems for IT', 3, 'Examines how web sites are developed. Focus on client-side and server-side scripting including HTML, JavaScript, and CSS. A substantial project requiring the design and implementation of an online web site is required.', 3000),</v>
      </c>
      <c r="K48" s="1" t="str">
        <f t="shared" si="2"/>
        <v xml:space="preserve">    @COURSE_CGS_3853  INT,</v>
      </c>
      <c r="M48" s="1" t="str">
        <f t="shared" si="3"/>
        <v>SELECT @COURSE_CGS_3853  = CourseID FROM Bellini.Course WHERE CoursePrefix = 'CGS' AND CourseNumber = '3853';</v>
      </c>
      <c r="O48" s="1" t="s">
        <v>906</v>
      </c>
      <c r="Q48" s="1" t="s">
        <v>395</v>
      </c>
      <c r="U48" s="1" t="str">
        <f t="shared" si="4"/>
        <v xml:space="preserve">    (@COURSE_CGS_3853, @COURSE_CEN_3722, 'C');</v>
      </c>
      <c r="V48" s="1" t="str">
        <f t="shared" si="5"/>
        <v/>
      </c>
      <c r="W48" s="1" t="str">
        <f t="shared" si="6"/>
        <v/>
      </c>
      <c r="Y48" s="1" t="s">
        <v>1722</v>
      </c>
      <c r="AA48" s="1" t="s">
        <v>1291</v>
      </c>
      <c r="AB48" s="1" t="str">
        <f t="shared" si="7"/>
        <v/>
      </c>
      <c r="AC48" s="1" t="s">
        <v>1291</v>
      </c>
    </row>
    <row r="49" spans="1:29" x14ac:dyDescent="0.3">
      <c r="A49" s="1" t="s">
        <v>92</v>
      </c>
      <c r="B49" s="1" t="s">
        <v>292</v>
      </c>
      <c r="C49" s="1" t="s">
        <v>420</v>
      </c>
      <c r="D49" s="1">
        <v>3</v>
      </c>
      <c r="G49" s="1" t="s">
        <v>421</v>
      </c>
      <c r="I49" s="1" t="str">
        <f t="shared" si="1"/>
        <v xml:space="preserve">    ('CHM', '2020', 'Chemistry for Liberal Studies I', 3, 'This course is designed for liberal arts students to learn basic chemical principles. Students will learn about reactions, energy and the scientific method. The course will have an emphasis on the chemistry of global climate change.', 2000),</v>
      </c>
      <c r="K49" s="1" t="str">
        <f t="shared" si="2"/>
        <v xml:space="preserve">    @COURSE_CHM_2020  INT,</v>
      </c>
      <c r="M49" s="1" t="str">
        <f t="shared" si="3"/>
        <v>SELECT @COURSE_CHM_2020  = CourseID FROM Bellini.Course WHERE CoursePrefix = 'CHM' AND CourseNumber = '2020';</v>
      </c>
      <c r="O49" s="1" t="s">
        <v>907</v>
      </c>
      <c r="U49" s="1" t="str">
        <f t="shared" si="4"/>
        <v/>
      </c>
      <c r="V49" s="1" t="str">
        <f t="shared" si="5"/>
        <v/>
      </c>
      <c r="W49" s="1" t="str">
        <f t="shared" si="6"/>
        <v/>
      </c>
      <c r="Y49" s="1" t="s">
        <v>1723</v>
      </c>
      <c r="AA49" s="1" t="s">
        <v>1291</v>
      </c>
      <c r="AB49" s="1" t="str">
        <f t="shared" si="7"/>
        <v/>
      </c>
      <c r="AC49" s="1" t="s">
        <v>1291</v>
      </c>
    </row>
    <row r="50" spans="1:29" x14ac:dyDescent="0.3">
      <c r="A50" s="1" t="s">
        <v>92</v>
      </c>
      <c r="B50" s="1" t="s">
        <v>93</v>
      </c>
      <c r="C50" s="1" t="s">
        <v>94</v>
      </c>
      <c r="D50" s="1">
        <v>3</v>
      </c>
      <c r="E50" s="1" t="s">
        <v>428</v>
      </c>
      <c r="G50" s="1" t="s">
        <v>422</v>
      </c>
      <c r="I50" s="1" t="str">
        <f t="shared" si="1"/>
        <v xml:space="preserve">    ('CHM', '2045', 'General Chemistry I', 3, 'Principles and applications of chemistry including properties of substances and reactions, thermochemistry, atomic-molecular structure and bonding, periodic properties of elements and compounds.', 2000),</v>
      </c>
      <c r="K50" s="1" t="str">
        <f t="shared" si="2"/>
        <v xml:space="preserve">    @COURSE_CHM_2045  INT,</v>
      </c>
      <c r="M50" s="1" t="str">
        <f t="shared" si="3"/>
        <v>SELECT @COURSE_CHM_2045  = CourseID FROM Bellini.Course WHERE CoursePrefix = 'CHM' AND CourseNumber = '2045';</v>
      </c>
      <c r="O50" s="1" t="s">
        <v>908</v>
      </c>
      <c r="U50" s="1" t="str">
        <f t="shared" si="4"/>
        <v/>
      </c>
      <c r="V50" s="1" t="str">
        <f t="shared" si="5"/>
        <v/>
      </c>
      <c r="W50" s="1" t="str">
        <f t="shared" si="6"/>
        <v/>
      </c>
      <c r="Y50" s="1" t="s">
        <v>1724</v>
      </c>
      <c r="AA50" s="1" t="s">
        <v>1291</v>
      </c>
      <c r="AB50" s="1" t="str">
        <f t="shared" si="7"/>
        <v/>
      </c>
      <c r="AC50" s="1" t="s">
        <v>1291</v>
      </c>
    </row>
    <row r="51" spans="1:29" x14ac:dyDescent="0.3">
      <c r="A51" s="1" t="s">
        <v>92</v>
      </c>
      <c r="B51" s="1" t="s">
        <v>95</v>
      </c>
      <c r="C51" s="1" t="s">
        <v>96</v>
      </c>
      <c r="D51" s="1">
        <v>1</v>
      </c>
      <c r="E51" s="1" t="s">
        <v>425</v>
      </c>
      <c r="F51" s="1" t="s">
        <v>406</v>
      </c>
      <c r="G51" s="1" t="s">
        <v>424</v>
      </c>
      <c r="I51" s="1" t="str">
        <f t="shared" si="1"/>
        <v xml:space="preserve">    ('CHM', '2045L', 'General Chemistry I Laboratory ', 1, 'Laboratory portion of General Chemistry I. Introduction to laboratory techniques; study of properties of elements and compounds; synthesis and analysis of natural and commercial materials.', 2000),</v>
      </c>
      <c r="K51" s="1" t="str">
        <f t="shared" si="2"/>
        <v xml:space="preserve">    @COURSE_CHM_2045L INT,</v>
      </c>
      <c r="M51" s="1" t="str">
        <f t="shared" si="3"/>
        <v>SELECT @COURSE_CHM_2045L = CourseID FROM Bellini.Course WHERE CoursePrefix = 'CHM' AND CourseNumber = '2045L';</v>
      </c>
      <c r="O51" s="1" t="s">
        <v>859</v>
      </c>
      <c r="Q51" s="1" t="s">
        <v>407</v>
      </c>
      <c r="U51" s="1" t="str">
        <f t="shared" si="4"/>
        <v xml:space="preserve">    (@COURSE_CHM_2045L, @COURSE_CHS_2440, 'C');</v>
      </c>
      <c r="V51" s="1" t="str">
        <f t="shared" si="5"/>
        <v/>
      </c>
      <c r="W51" s="1" t="str">
        <f t="shared" si="6"/>
        <v/>
      </c>
      <c r="Y51" s="1" t="s">
        <v>1725</v>
      </c>
      <c r="AA51" s="1" t="s">
        <v>406</v>
      </c>
      <c r="AB51" s="1" t="str">
        <f t="shared" si="7"/>
        <v xml:space="preserve">    (@COURSE_CHM_2045L, @COURSE_CHM_2045),</v>
      </c>
    </row>
    <row r="52" spans="1:29" x14ac:dyDescent="0.3">
      <c r="A52" s="1" t="s">
        <v>97</v>
      </c>
      <c r="B52" s="1" t="s">
        <v>98</v>
      </c>
      <c r="C52" s="1" t="s">
        <v>99</v>
      </c>
      <c r="D52" s="1">
        <v>3</v>
      </c>
      <c r="E52" s="1" t="s">
        <v>428</v>
      </c>
      <c r="G52" s="1" t="s">
        <v>427</v>
      </c>
      <c r="I52" s="1" t="str">
        <f t="shared" si="1"/>
        <v xml:space="preserve">    ('CHS', '2440', 'General Chemistry for Engineers', 3, 'Introduction to important concepts and principles of chemistry with emphasis on areas considered most relevant in an engineering context.', 2000),</v>
      </c>
      <c r="K52" s="1" t="str">
        <f t="shared" si="2"/>
        <v xml:space="preserve">    @COURSE_CHS_2440  INT,</v>
      </c>
      <c r="M52" s="1" t="str">
        <f t="shared" si="3"/>
        <v>SELECT @COURSE_CHS_2440  = CourseID FROM Bellini.Course WHERE CoursePrefix = 'CHS' AND CourseNumber = '2440';</v>
      </c>
      <c r="O52" s="1" t="s">
        <v>909</v>
      </c>
      <c r="U52" s="1" t="str">
        <f t="shared" si="4"/>
        <v/>
      </c>
      <c r="V52" s="1" t="str">
        <f t="shared" si="5"/>
        <v/>
      </c>
      <c r="W52" s="1" t="str">
        <f t="shared" si="6"/>
        <v/>
      </c>
      <c r="Y52" s="1" t="s">
        <v>1726</v>
      </c>
      <c r="AA52" s="1" t="s">
        <v>1291</v>
      </c>
      <c r="AB52" s="1" t="str">
        <f t="shared" si="7"/>
        <v/>
      </c>
    </row>
    <row r="53" spans="1:29" x14ac:dyDescent="0.3">
      <c r="A53" s="1" t="s">
        <v>97</v>
      </c>
      <c r="B53" s="1" t="s">
        <v>100</v>
      </c>
      <c r="C53" s="1" t="s">
        <v>101</v>
      </c>
      <c r="D53" s="1">
        <v>1</v>
      </c>
      <c r="F53" s="1" t="s">
        <v>407</v>
      </c>
      <c r="G53" s="1" t="s">
        <v>429</v>
      </c>
      <c r="I53" s="1" t="str">
        <f t="shared" si="1"/>
        <v xml:space="preserve">    ('CHS', '2440L', 'General Chemistry for Engineers Lab ', 1, 'Laboratory portion of General Chemistry for Engineers. Introduction to laboratory techniques, study of properties of elements, synthesis and analysis of natural and commercial materials.', 2000),</v>
      </c>
      <c r="K53" s="1" t="str">
        <f t="shared" si="2"/>
        <v xml:space="preserve">    @COURSE_CHS_2440L INT,</v>
      </c>
      <c r="M53" s="1" t="str">
        <f t="shared" si="3"/>
        <v>SELECT @COURSE_CHS_2440L = CourseID FROM Bellini.Course WHERE CoursePrefix = 'CHS' AND CourseNumber = '2440L';</v>
      </c>
      <c r="O53" s="1" t="s">
        <v>860</v>
      </c>
      <c r="U53" s="1" t="str">
        <f t="shared" si="4"/>
        <v/>
      </c>
      <c r="V53" s="1" t="str">
        <f t="shared" si="5"/>
        <v/>
      </c>
      <c r="W53" s="1" t="str">
        <f t="shared" si="6"/>
        <v/>
      </c>
      <c r="Y53" s="1" t="s">
        <v>1727</v>
      </c>
      <c r="AA53" s="1" t="s">
        <v>407</v>
      </c>
      <c r="AB53" s="1" t="str">
        <f t="shared" si="7"/>
        <v xml:space="preserve">    (@COURSE_CHS_2440L, @COURSE_CHS_2440),</v>
      </c>
    </row>
    <row r="54" spans="1:29" x14ac:dyDescent="0.3">
      <c r="A54" s="1" t="s">
        <v>102</v>
      </c>
      <c r="B54" s="1" t="s">
        <v>103</v>
      </c>
      <c r="C54" s="1" t="s">
        <v>104</v>
      </c>
      <c r="D54" s="1">
        <v>3</v>
      </c>
      <c r="E54" s="1" t="s">
        <v>431</v>
      </c>
      <c r="G54" s="1" t="s">
        <v>430</v>
      </c>
      <c r="I54" s="1" t="str">
        <f t="shared" si="1"/>
        <v xml:space="preserve">    ('CIS', '3213', 'Foundations of Cybersecurity', 3, 'The fundamentals of cyber security are introduced. Students learn to identify attack phases, understand the adversary's motivations, the resources and techniques they use, and the intended end-game. Techniques for mitigating threats are described.', 3000),</v>
      </c>
      <c r="K54" s="1" t="str">
        <f t="shared" si="2"/>
        <v xml:space="preserve">    @COURSE_CIS_3213  INT,</v>
      </c>
      <c r="M54" s="1" t="str">
        <f t="shared" si="3"/>
        <v>SELECT @COURSE_CIS_3213  = CourseID FROM Bellini.Course WHERE CoursePrefix = 'CIS' AND CourseNumber = '3213';</v>
      </c>
      <c r="O54" s="1" t="s">
        <v>910</v>
      </c>
      <c r="Q54" s="1" t="s">
        <v>431</v>
      </c>
      <c r="U54" s="1" t="str">
        <f t="shared" si="4"/>
        <v xml:space="preserve">    (@COURSE_CIS_3213, @COURSE_COP_2512, 'C');</v>
      </c>
      <c r="V54" s="1" t="str">
        <f t="shared" si="5"/>
        <v/>
      </c>
      <c r="W54" s="1" t="str">
        <f t="shared" si="6"/>
        <v/>
      </c>
      <c r="Y54" s="1" t="s">
        <v>1728</v>
      </c>
      <c r="AA54" s="1" t="s">
        <v>1291</v>
      </c>
      <c r="AB54" s="1" t="str">
        <f t="shared" si="7"/>
        <v/>
      </c>
    </row>
    <row r="55" spans="1:29" x14ac:dyDescent="0.3">
      <c r="A55" s="1" t="s">
        <v>102</v>
      </c>
      <c r="B55" s="1" t="s">
        <v>105</v>
      </c>
      <c r="C55" s="1" t="s">
        <v>106</v>
      </c>
      <c r="D55" s="1">
        <v>3</v>
      </c>
      <c r="G55" s="1" t="s">
        <v>432</v>
      </c>
      <c r="I55" s="1" t="str">
        <f t="shared" si="1"/>
        <v xml:space="preserve">    ('CIS', '3360', 'Principles of Information Security', 3, 'Board review of Information Security and related elements. Includes terminology, history of the discipline, overview of information security program management. Suitable for IS, criminal justice, political science, accounting information systems students', 3000),</v>
      </c>
      <c r="K55" s="1" t="str">
        <f t="shared" si="2"/>
        <v xml:space="preserve">    @COURSE_CIS_3360  INT,</v>
      </c>
      <c r="M55" s="1" t="str">
        <f t="shared" si="3"/>
        <v>SELECT @COURSE_CIS_3360  = CourseID FROM Bellini.Course WHERE CoursePrefix = 'CIS' AND CourseNumber = '3360';</v>
      </c>
      <c r="O55" s="1" t="s">
        <v>911</v>
      </c>
      <c r="U55" s="1" t="str">
        <f t="shared" si="4"/>
        <v/>
      </c>
      <c r="V55" s="1" t="str">
        <f t="shared" si="5"/>
        <v/>
      </c>
      <c r="W55" s="1" t="str">
        <f t="shared" si="6"/>
        <v/>
      </c>
      <c r="Y55" s="1" t="s">
        <v>1729</v>
      </c>
      <c r="AA55" s="1" t="s">
        <v>1291</v>
      </c>
      <c r="AB55" s="1" t="str">
        <f t="shared" si="7"/>
        <v/>
      </c>
    </row>
    <row r="56" spans="1:29" x14ac:dyDescent="0.3">
      <c r="A56" s="1" t="s">
        <v>102</v>
      </c>
      <c r="B56" s="1" t="s">
        <v>107</v>
      </c>
      <c r="C56" s="1" t="s">
        <v>108</v>
      </c>
      <c r="D56" s="1">
        <v>3</v>
      </c>
      <c r="E56" s="1" t="s">
        <v>434</v>
      </c>
      <c r="G56" s="1" t="s">
        <v>433</v>
      </c>
      <c r="I56" s="1" t="str">
        <f t="shared" si="1"/>
        <v xml:space="preserve">    ('CIS', '3362', 'Cryptography and Information Security', 3, 'This course examines classical cryptography, entropy, stream and block ciphers, public key versus symmetric cryptography, one-way and trap-door functions, plus other specific tools and techniques in popular use.', 3000),</v>
      </c>
      <c r="K56" s="1" t="str">
        <f t="shared" si="2"/>
        <v xml:space="preserve">    @COURSE_CIS_3362  INT,</v>
      </c>
      <c r="M56" s="1" t="str">
        <f t="shared" si="3"/>
        <v>SELECT @COURSE_CIS_3362  = CourseID FROM Bellini.Course WHERE CoursePrefix = 'CIS' AND CourseNumber = '3362';</v>
      </c>
      <c r="O56" s="1" t="s">
        <v>912</v>
      </c>
      <c r="Q56" s="1" t="s">
        <v>434</v>
      </c>
      <c r="U56" s="1" t="str">
        <f t="shared" si="4"/>
        <v xml:space="preserve">    (@COURSE_CIS_3362, @COURSE_MAD_2104, 'C');</v>
      </c>
      <c r="V56" s="1" t="str">
        <f t="shared" si="5"/>
        <v/>
      </c>
      <c r="W56" s="1" t="str">
        <f t="shared" si="6"/>
        <v/>
      </c>
      <c r="Y56" s="1" t="s">
        <v>1730</v>
      </c>
      <c r="AA56" s="1" t="s">
        <v>1291</v>
      </c>
      <c r="AB56" s="1" t="str">
        <f t="shared" si="7"/>
        <v/>
      </c>
    </row>
    <row r="57" spans="1:29" x14ac:dyDescent="0.3">
      <c r="A57" s="1" t="s">
        <v>102</v>
      </c>
      <c r="B57" s="1" t="s">
        <v>109</v>
      </c>
      <c r="C57" s="1" t="s">
        <v>110</v>
      </c>
      <c r="D57" s="1">
        <v>3</v>
      </c>
      <c r="E57" s="1" t="s">
        <v>436</v>
      </c>
      <c r="G57" s="1" t="s">
        <v>435</v>
      </c>
      <c r="I57" s="1" t="str">
        <f t="shared" si="1"/>
        <v xml:space="preserve">    ('CIS', '3363', 'Information Technology Systems Security', 3, 'This course covers foundations of systems security, including availability, authentication, access control, network penetration/defense, reverse engineering, cyber physical systems, forensics, supply chain management security, and secure systems design.', 3000),</v>
      </c>
      <c r="K57" s="1" t="str">
        <f t="shared" si="2"/>
        <v xml:space="preserve">    @COURSE_CIS_3363  INT,</v>
      </c>
      <c r="M57" s="1" t="str">
        <f t="shared" si="3"/>
        <v>SELECT @COURSE_CIS_3363  = CourseID FROM Bellini.Course WHERE CoursePrefix = 'CIS' AND CourseNumber = '3363';</v>
      </c>
      <c r="O57" s="1" t="s">
        <v>913</v>
      </c>
      <c r="Q57" s="1" t="s">
        <v>670</v>
      </c>
      <c r="R57" s="1" t="s">
        <v>453</v>
      </c>
      <c r="S57" s="1" t="s">
        <v>434</v>
      </c>
      <c r="U57" s="1" t="str">
        <f t="shared" si="4"/>
        <v xml:space="preserve">    (@COURSE_CIS_3363, @COURSE_CIS_3213, 'C');</v>
      </c>
      <c r="V57" s="1" t="str">
        <f t="shared" si="5"/>
        <v xml:space="preserve">    (@COURSE_CIS_3363, @COURSE_COP_2513, 'C');</v>
      </c>
      <c r="W57" s="1" t="str">
        <f t="shared" si="6"/>
        <v xml:space="preserve">    (@COURSE_CIS_3363, @COURSE_MAD_2104, 'C');</v>
      </c>
      <c r="Y57" s="1" t="s">
        <v>1731</v>
      </c>
      <c r="AA57" s="1" t="s">
        <v>1291</v>
      </c>
      <c r="AB57" s="1" t="str">
        <f t="shared" si="7"/>
        <v/>
      </c>
    </row>
    <row r="58" spans="1:29" x14ac:dyDescent="0.3">
      <c r="A58" s="1" t="s">
        <v>102</v>
      </c>
      <c r="B58" s="1" t="s">
        <v>111</v>
      </c>
      <c r="C58" s="1" t="s">
        <v>112</v>
      </c>
      <c r="D58" s="1">
        <v>3</v>
      </c>
      <c r="E58" s="1" t="s">
        <v>397</v>
      </c>
      <c r="G58" s="1" t="s">
        <v>437</v>
      </c>
      <c r="I58" s="1" t="str">
        <f t="shared" si="1"/>
        <v xml:space="preserve">    ('CIS', '3433', 'System Integration and Architecture for IT', 3, 'Role of systems architecture in systems integration, performance, and effectiveness. Principles and concepts of "devops" (development operations) interplay between IT applications roll-out and related organizational processes.', 3000),</v>
      </c>
      <c r="K58" s="1" t="str">
        <f t="shared" si="2"/>
        <v xml:space="preserve">    @COURSE_CIS_3433  INT,</v>
      </c>
      <c r="M58" s="1" t="str">
        <f t="shared" si="3"/>
        <v>SELECT @COURSE_CIS_3433  = CourseID FROM Bellini.Course WHERE CoursePrefix = 'CIS' AND CourseNumber = '3433';</v>
      </c>
      <c r="O58" s="1" t="s">
        <v>914</v>
      </c>
      <c r="Q58" s="1" t="s">
        <v>397</v>
      </c>
      <c r="U58" s="1" t="str">
        <f t="shared" si="4"/>
        <v xml:space="preserve">    (@COURSE_CIS_3433, @COURSE_CGS_3303, 'C');</v>
      </c>
      <c r="V58" s="1" t="str">
        <f t="shared" si="5"/>
        <v/>
      </c>
      <c r="W58" s="1" t="str">
        <f t="shared" si="6"/>
        <v/>
      </c>
      <c r="Y58" s="1" t="s">
        <v>1732</v>
      </c>
      <c r="AA58" s="1" t="s">
        <v>1291</v>
      </c>
      <c r="AB58" s="1" t="str">
        <f t="shared" si="7"/>
        <v/>
      </c>
    </row>
    <row r="59" spans="1:29" x14ac:dyDescent="0.3">
      <c r="A59" s="1" t="s">
        <v>102</v>
      </c>
      <c r="B59" s="1" t="s">
        <v>113</v>
      </c>
      <c r="C59" s="1" t="s">
        <v>114</v>
      </c>
      <c r="D59" s="1">
        <v>3</v>
      </c>
      <c r="E59" s="1" t="s">
        <v>372</v>
      </c>
      <c r="G59" s="1" t="s">
        <v>438</v>
      </c>
      <c r="I59" s="1" t="str">
        <f t="shared" si="1"/>
        <v xml:space="preserve">    ('CIS', '4083', 'Cloud Computing for IT', 3, 'This is a hand-on class in the methods and technologies of cloud computing. Upon completion of this course students will be able to create, configure, build, deploy, and manage a variety of cloud based solutions.', 4000),</v>
      </c>
      <c r="K59" s="1" t="str">
        <f t="shared" si="2"/>
        <v xml:space="preserve">    @COURSE_CIS_4083  INT,</v>
      </c>
      <c r="M59" s="1" t="str">
        <f t="shared" si="3"/>
        <v>SELECT @COURSE_CIS_4083  = CourseID FROM Bellini.Course WHERE CoursePrefix = 'CIS' AND CourseNumber = '4083';</v>
      </c>
      <c r="O59" s="1" t="s">
        <v>915</v>
      </c>
      <c r="Q59" s="1" t="s">
        <v>372</v>
      </c>
      <c r="U59" s="1" t="str">
        <f t="shared" si="4"/>
        <v xml:space="preserve">    (@COURSE_CIS_4083, @COURSE_COP_3515, 'C');</v>
      </c>
      <c r="V59" s="1" t="str">
        <f t="shared" si="5"/>
        <v/>
      </c>
      <c r="W59" s="1" t="str">
        <f t="shared" si="6"/>
        <v/>
      </c>
      <c r="Y59" s="1" t="s">
        <v>1733</v>
      </c>
      <c r="AA59" s="1" t="s">
        <v>1291</v>
      </c>
      <c r="AB59" s="1" t="str">
        <f t="shared" si="7"/>
        <v/>
      </c>
    </row>
    <row r="60" spans="1:29" x14ac:dyDescent="0.3">
      <c r="A60" s="1" t="s">
        <v>102</v>
      </c>
      <c r="B60" s="1" t="s">
        <v>115</v>
      </c>
      <c r="C60" s="1" t="s">
        <v>116</v>
      </c>
      <c r="D60" s="1">
        <v>3</v>
      </c>
      <c r="E60" s="1" t="s">
        <v>372</v>
      </c>
      <c r="G60" s="1" t="s">
        <v>439</v>
      </c>
      <c r="I60" s="1" t="str">
        <f t="shared" si="1"/>
        <v xml:space="preserve">    ('CIS', '4200', 'Penetration Testing for IT', 3, 'Penetration testing and related software tools are presented. Legalities and various cyber-attacks such distributed denial of service, man-in-the-middle, and password attacks are covered. Methods to correct security flaws are given.', 4000),</v>
      </c>
      <c r="K60" s="1" t="str">
        <f t="shared" si="2"/>
        <v xml:space="preserve">    @COURSE_CIS_4200  INT,</v>
      </c>
      <c r="M60" s="1" t="str">
        <f t="shared" si="3"/>
        <v>SELECT @COURSE_CIS_4200  = CourseID FROM Bellini.Course WHERE CoursePrefix = 'CIS' AND CourseNumber = '4200';</v>
      </c>
      <c r="O60" s="1" t="s">
        <v>916</v>
      </c>
      <c r="Q60" s="1" t="s">
        <v>372</v>
      </c>
      <c r="U60" s="1" t="str">
        <f t="shared" si="4"/>
        <v xml:space="preserve">    (@COURSE_CIS_4200, @COURSE_COP_3515, 'C');</v>
      </c>
      <c r="V60" s="1" t="str">
        <f t="shared" si="5"/>
        <v/>
      </c>
      <c r="W60" s="1" t="str">
        <f t="shared" si="6"/>
        <v/>
      </c>
      <c r="Y60" s="1" t="s">
        <v>1734</v>
      </c>
      <c r="AA60" s="1" t="s">
        <v>1291</v>
      </c>
      <c r="AB60" s="1" t="str">
        <f t="shared" si="7"/>
        <v/>
      </c>
    </row>
    <row r="61" spans="1:29" x14ac:dyDescent="0.3">
      <c r="A61" s="1" t="s">
        <v>102</v>
      </c>
      <c r="B61" s="1" t="s">
        <v>55</v>
      </c>
      <c r="C61" s="1" t="s">
        <v>117</v>
      </c>
      <c r="D61" s="1">
        <v>3</v>
      </c>
      <c r="E61" s="1" t="s">
        <v>441</v>
      </c>
      <c r="G61" s="1" t="s">
        <v>440</v>
      </c>
      <c r="I61" s="1" t="str">
        <f t="shared" si="1"/>
        <v xml:space="preserve">    ('CIS', '4203', 'Cyber Forensics and Investigations', 3, 'Teaches the methods of acquiring, preserving, retrieving, and presenting data that have been processed electronically and stored on computer media for use in legal proceedings. Focus on MS Windows systems.', 4000),</v>
      </c>
      <c r="K61" s="1" t="str">
        <f t="shared" si="2"/>
        <v xml:space="preserve">    @COURSE_CIS_4203  INT,</v>
      </c>
      <c r="M61" s="1" t="str">
        <f t="shared" si="3"/>
        <v>SELECT @COURSE_CIS_4203  = CourseID FROM Bellini.Course WHERE CoursePrefix = 'CIS' AND CourseNumber = '4203';</v>
      </c>
      <c r="O61" s="1" t="s">
        <v>917</v>
      </c>
      <c r="Q61" s="1" t="s">
        <v>467</v>
      </c>
      <c r="R61" s="1" t="s">
        <v>434</v>
      </c>
      <c r="U61" s="1" t="str">
        <f t="shared" si="4"/>
        <v xml:space="preserve">    (@COURSE_CIS_4203, @COURSE_COP_2030, 'C');</v>
      </c>
      <c r="V61" s="1" t="str">
        <f t="shared" si="5"/>
        <v xml:space="preserve">    (@COURSE_CIS_4203, @COURSE_MAD_2104, 'C');</v>
      </c>
      <c r="W61" s="1" t="str">
        <f t="shared" si="6"/>
        <v/>
      </c>
      <c r="Y61" s="1" t="s">
        <v>1735</v>
      </c>
      <c r="AA61" s="1" t="s">
        <v>1291</v>
      </c>
      <c r="AB61" s="1" t="str">
        <f t="shared" si="7"/>
        <v/>
      </c>
    </row>
    <row r="62" spans="1:29" x14ac:dyDescent="0.3">
      <c r="A62" s="1" t="s">
        <v>102</v>
      </c>
      <c r="B62" s="1" t="s">
        <v>118</v>
      </c>
      <c r="C62" s="1" t="s">
        <v>119</v>
      </c>
      <c r="D62" s="1">
        <v>3</v>
      </c>
      <c r="F62" s="1" t="s">
        <v>366</v>
      </c>
      <c r="G62" s="1" t="s">
        <v>442</v>
      </c>
      <c r="I62" s="1" t="str">
        <f t="shared" si="1"/>
        <v xml:space="preserve">    ('CIS', '4212', 'Privacy-Preserving and Trustworthy Cyber-Infrastructures', 3, 'This course will explore emerging cyber-security technologies addressing security issues of cyberinfrastructures. It will cover privacy-enhancing and trustworthy techniques for cloud computing and internet of thing systems.', 4000),</v>
      </c>
      <c r="K62" s="1" t="str">
        <f t="shared" si="2"/>
        <v xml:space="preserve">    @COURSE_CIS_4212  INT,</v>
      </c>
      <c r="M62" s="1" t="str">
        <f t="shared" si="3"/>
        <v>SELECT @COURSE_CIS_4212  = CourseID FROM Bellini.Course WHERE CoursePrefix = 'CIS' AND CourseNumber = '4212';</v>
      </c>
      <c r="O62" s="1" t="s">
        <v>918</v>
      </c>
      <c r="U62" s="1" t="str">
        <f t="shared" si="4"/>
        <v/>
      </c>
      <c r="V62" s="1" t="str">
        <f t="shared" si="5"/>
        <v/>
      </c>
      <c r="W62" s="1" t="str">
        <f t="shared" si="6"/>
        <v/>
      </c>
      <c r="Y62" s="1" t="s">
        <v>1736</v>
      </c>
      <c r="AA62" s="1" t="s">
        <v>366</v>
      </c>
      <c r="AB62" s="1" t="str">
        <f t="shared" si="7"/>
        <v xml:space="preserve">    (@COURSE_CIS_4212, @COURSE_COP_4530),</v>
      </c>
    </row>
    <row r="63" spans="1:29" x14ac:dyDescent="0.3">
      <c r="A63" s="1" t="s">
        <v>102</v>
      </c>
      <c r="B63" s="1" t="s">
        <v>120</v>
      </c>
      <c r="C63" s="1" t="s">
        <v>121</v>
      </c>
      <c r="D63" s="1">
        <v>3</v>
      </c>
      <c r="E63" s="1" t="s">
        <v>426</v>
      </c>
      <c r="G63" s="1" t="s">
        <v>443</v>
      </c>
      <c r="I63" s="1" t="str">
        <f t="shared" si="1"/>
        <v xml:space="preserve">    ('CIS', '4219', 'Human Aspects of Cybersecurity', 3, 'This course will study the human aspects of cybersecurity and cover such topics as: identity management, social engineering, societal behaviors, privacy and security, and individual awareness and understanding of cybersecurity.', 4000),</v>
      </c>
      <c r="K63" s="1" t="str">
        <f t="shared" si="2"/>
        <v xml:space="preserve">    @COURSE_CIS_4219  INT,</v>
      </c>
      <c r="M63" s="1" t="str">
        <f t="shared" si="3"/>
        <v>SELECT @COURSE_CIS_4219  = CourseID FROM Bellini.Course WHERE CoursePrefix = 'CIS' AND CourseNumber = '4219';</v>
      </c>
      <c r="O63" s="1" t="s">
        <v>919</v>
      </c>
      <c r="Q63" s="1" t="s">
        <v>426</v>
      </c>
      <c r="U63" s="1" t="str">
        <f t="shared" si="4"/>
        <v xml:space="preserve">    (@COURSE_CIS_4219, @COURSE_CIS_3363, 'C');</v>
      </c>
      <c r="V63" s="1" t="str">
        <f t="shared" si="5"/>
        <v/>
      </c>
      <c r="W63" s="1" t="str">
        <f t="shared" si="6"/>
        <v/>
      </c>
      <c r="Y63" s="1" t="s">
        <v>1737</v>
      </c>
      <c r="AA63" s="1" t="s">
        <v>1291</v>
      </c>
      <c r="AB63" s="1" t="str">
        <f t="shared" si="7"/>
        <v/>
      </c>
    </row>
    <row r="64" spans="1:29" x14ac:dyDescent="0.3">
      <c r="A64" s="1" t="s">
        <v>102</v>
      </c>
      <c r="B64" s="1" t="s">
        <v>122</v>
      </c>
      <c r="C64" s="1" t="s">
        <v>123</v>
      </c>
      <c r="D64" s="1">
        <v>3</v>
      </c>
      <c r="G64" s="1" t="s">
        <v>444</v>
      </c>
      <c r="I64" s="1" t="str">
        <f t="shared" si="1"/>
        <v xml:space="preserve">    ('CIS', '4250', 'Ethical Issues and Professional Conduct', 3, 'This course introduces students to ethical issues and professional responsibilities arising in the computer sciences. Students will develop ethical solutions to real-world problems and present them.', 4000),</v>
      </c>
      <c r="K64" s="1" t="str">
        <f t="shared" si="2"/>
        <v xml:space="preserve">    @COURSE_CIS_4250  INT,</v>
      </c>
      <c r="M64" s="1" t="str">
        <f t="shared" si="3"/>
        <v>SELECT @COURSE_CIS_4250  = CourseID FROM Bellini.Course WHERE CoursePrefix = 'CIS' AND CourseNumber = '4250';</v>
      </c>
      <c r="O64" s="1" t="s">
        <v>920</v>
      </c>
      <c r="U64" s="1" t="str">
        <f t="shared" si="4"/>
        <v/>
      </c>
      <c r="V64" s="1" t="str">
        <f t="shared" si="5"/>
        <v/>
      </c>
      <c r="W64" s="1" t="str">
        <f t="shared" si="6"/>
        <v/>
      </c>
      <c r="Y64" s="1" t="s">
        <v>1738</v>
      </c>
      <c r="AA64" s="1" t="s">
        <v>1291</v>
      </c>
      <c r="AB64" s="1" t="str">
        <f t="shared" si="7"/>
        <v/>
      </c>
    </row>
    <row r="65" spans="1:29" x14ac:dyDescent="0.3">
      <c r="A65" s="1" t="s">
        <v>102</v>
      </c>
      <c r="B65" s="1" t="s">
        <v>67</v>
      </c>
      <c r="C65" s="1" t="s">
        <v>124</v>
      </c>
      <c r="D65" s="1">
        <v>3</v>
      </c>
      <c r="G65" s="1" t="s">
        <v>445</v>
      </c>
      <c r="I65" s="1" t="str">
        <f t="shared" si="1"/>
        <v xml:space="preserve">    ('CIS', '4253', 'Ethics for Information Technology', 3, 'This course covers the professional code of ethics and a survey of ethical issues in computing such as intellectual property, security, privacy, and copyright. Class discussions cover ethical responsibilities of IT professionals and issues that are shaping our society.', 4000),</v>
      </c>
      <c r="K65" s="1" t="str">
        <f t="shared" si="2"/>
        <v xml:space="preserve">    @COURSE_CIS_4253  INT,</v>
      </c>
      <c r="M65" s="1" t="str">
        <f t="shared" si="3"/>
        <v>SELECT @COURSE_CIS_4253  = CourseID FROM Bellini.Course WHERE CoursePrefix = 'CIS' AND CourseNumber = '4253';</v>
      </c>
      <c r="O65" s="1" t="s">
        <v>921</v>
      </c>
      <c r="U65" s="1" t="str">
        <f t="shared" si="4"/>
        <v/>
      </c>
      <c r="V65" s="1" t="str">
        <f t="shared" si="5"/>
        <v/>
      </c>
      <c r="W65" s="1" t="str">
        <f t="shared" si="6"/>
        <v/>
      </c>
      <c r="Y65" s="1" t="s">
        <v>1739</v>
      </c>
      <c r="AA65" s="1" t="s">
        <v>1291</v>
      </c>
      <c r="AB65" s="1" t="str">
        <f t="shared" si="7"/>
        <v/>
      </c>
    </row>
    <row r="66" spans="1:29" x14ac:dyDescent="0.3">
      <c r="A66" s="1" t="s">
        <v>102</v>
      </c>
      <c r="B66" s="1" t="s">
        <v>125</v>
      </c>
      <c r="C66" s="1" t="s">
        <v>126</v>
      </c>
      <c r="D66" s="1">
        <v>3</v>
      </c>
      <c r="E66" s="1" t="s">
        <v>369</v>
      </c>
      <c r="G66" s="1" t="s">
        <v>446</v>
      </c>
      <c r="I66" s="1" t="str">
        <f t="shared" si="1"/>
        <v xml:space="preserve">    ('CIS', '4345', 'Big Data Storage and Analysis with Hadoop', 3, 'This is an introductory course for big data storage and analysis in Hadoop cluster. Topics include Hadoop file system, Hadoop cluster architectures, Hadoop ecosystems, and big data processing frameworks MapReduce, Spark, Pig and Hive.', 4000),</v>
      </c>
      <c r="K66" s="1" t="str">
        <f t="shared" si="2"/>
        <v xml:space="preserve">    @COURSE_CIS_4345  INT,</v>
      </c>
      <c r="M66" s="1" t="str">
        <f t="shared" si="3"/>
        <v>SELECT @COURSE_CIS_4345  = CourseID FROM Bellini.Course WHERE CoursePrefix = 'CIS' AND CourseNumber = '4345';</v>
      </c>
      <c r="O66" s="1" t="s">
        <v>922</v>
      </c>
      <c r="Q66" s="1" t="s">
        <v>369</v>
      </c>
      <c r="U66" s="1" t="str">
        <f t="shared" si="4"/>
        <v xml:space="preserve">    (@COURSE_CIS_4345, @COURSE_COP_3331, 'C');</v>
      </c>
      <c r="V66" s="1" t="str">
        <f t="shared" si="5"/>
        <v/>
      </c>
      <c r="W66" s="1" t="str">
        <f t="shared" si="6"/>
        <v/>
      </c>
      <c r="Y66" s="1" t="s">
        <v>1740</v>
      </c>
      <c r="AA66" s="1" t="s">
        <v>1291</v>
      </c>
      <c r="AB66" s="1" t="str">
        <f t="shared" si="7"/>
        <v/>
      </c>
    </row>
    <row r="67" spans="1:29" x14ac:dyDescent="0.3">
      <c r="A67" s="1" t="s">
        <v>102</v>
      </c>
      <c r="B67" s="1" t="s">
        <v>127</v>
      </c>
      <c r="C67" s="1" t="s">
        <v>128</v>
      </c>
      <c r="D67" s="1">
        <v>3</v>
      </c>
      <c r="E67" s="1" t="s">
        <v>372</v>
      </c>
      <c r="G67" s="1" t="s">
        <v>447</v>
      </c>
      <c r="I67" s="1" t="str">
        <f t="shared" si="1"/>
        <v xml:space="preserve">    ('CIS', '4361', 'Information Assurance and Security Management for IT', 3, 'The CIANA model, information security management techniques, and security concerns are presented. Topics include access control systems, network security, security management practices, cryptography, disaster recovery planning, and others.', 4000),</v>
      </c>
      <c r="K67" s="1" t="str">
        <f t="shared" si="2"/>
        <v xml:space="preserve">    @COURSE_CIS_4361  INT,</v>
      </c>
      <c r="M67" s="1" t="str">
        <f t="shared" si="3"/>
        <v>SELECT @COURSE_CIS_4361  = CourseID FROM Bellini.Course WHERE CoursePrefix = 'CIS' AND CourseNumber = '4361';</v>
      </c>
      <c r="O67" s="1" t="s">
        <v>923</v>
      </c>
      <c r="Q67" s="1" t="s">
        <v>372</v>
      </c>
      <c r="U67" s="1" t="str">
        <f t="shared" si="4"/>
        <v xml:space="preserve">    (@COURSE_CIS_4361, @COURSE_COP_3515, 'C');</v>
      </c>
      <c r="V67" s="1" t="str">
        <f t="shared" si="5"/>
        <v/>
      </c>
      <c r="W67" s="1" t="str">
        <f t="shared" si="6"/>
        <v/>
      </c>
      <c r="Y67" s="1" t="s">
        <v>1741</v>
      </c>
      <c r="AA67" s="1" t="s">
        <v>1291</v>
      </c>
      <c r="AB67" s="1" t="str">
        <f t="shared" si="7"/>
        <v/>
      </c>
    </row>
    <row r="68" spans="1:29" x14ac:dyDescent="0.3">
      <c r="A68" s="1" t="s">
        <v>102</v>
      </c>
      <c r="B68" s="1" t="s">
        <v>129</v>
      </c>
      <c r="C68" s="1" t="s">
        <v>130</v>
      </c>
      <c r="D68" s="1">
        <v>3</v>
      </c>
      <c r="E68" s="1" t="s">
        <v>366</v>
      </c>
      <c r="F68" s="1" t="s">
        <v>449</v>
      </c>
      <c r="G68" s="1" t="s">
        <v>448</v>
      </c>
      <c r="I68" s="1" t="str">
        <f t="shared" ref="I68:I131" si="8">"    ('" &amp; A68 &amp; "', '" &amp; B68 &amp; "', '" &amp; C68 &amp; "', " &amp; D68 &amp; ", '" &amp; G68 &amp; "', " &amp; 1000 * ROUNDDOWN(MID(B68, 1, 4) / 1000, 0) &amp; "),"</f>
        <v xml:space="preserve">    ('CIS', '4364', 'Cryptology and Information Security', 3, 'Covers the fundamentals of computer security. The following topics are addressed: Network Security, Cryptography, Access Control, Security Architecture and Models, Applications and Systems Development, Vulnerability Assessment.', 4000),</v>
      </c>
      <c r="K68" s="1" t="str">
        <f t="shared" ref="K68:K131" si="9">"    @COURSE_" &amp; A68 &amp; "_" &amp; B68 &amp; IF(LEN(B68) = 4, " ", "") &amp; " INT,"</f>
        <v xml:space="preserve">    @COURSE_CIS_4364  INT,</v>
      </c>
      <c r="M68" s="1" t="str">
        <f t="shared" ref="M68:M131" si="10">"SELECT @COURSE_" &amp; A68 &amp; "_" &amp; B68 &amp; IF(LEN(B68) = 4, " ", "") &amp; " = CourseID FROM Bellini.Course WHERE CoursePrefix = '" &amp; A68 &amp; "' AND CourseNumber = '" &amp; B68 &amp; "';"</f>
        <v>SELECT @COURSE_CIS_4364  = CourseID FROM Bellini.Course WHERE CoursePrefix = 'CIS' AND CourseNumber = '4364';</v>
      </c>
      <c r="O68" s="1" t="s">
        <v>924</v>
      </c>
      <c r="Q68" s="1" t="s">
        <v>366</v>
      </c>
      <c r="U68" s="1" t="str">
        <f t="shared" ref="U68:U131" si="11">IF(Q68 &lt;&gt; "", "    (@COURSE_" &amp; $A68 &amp; "_" &amp; $B68 &amp; ", @COURSE_" &amp; MID(Q68, 1, 3) &amp; "_" &amp; MID(Q68, 5, 10) &amp; ", 'C');", "")</f>
        <v xml:space="preserve">    (@COURSE_CIS_4364, @COURSE_COP_4530, 'C');</v>
      </c>
      <c r="V68" s="1" t="str">
        <f t="shared" ref="V68:V131" si="12">IF(R68 &lt;&gt; "", "    (@COURSE_" &amp; $A68 &amp; "_" &amp; $B68 &amp; ", @COURSE_" &amp; MID(R68, 1, 3) &amp; "_" &amp; MID(R68, 5, 10) &amp; ", 'C');", "")</f>
        <v/>
      </c>
      <c r="W68" s="1" t="str">
        <f t="shared" ref="W68:W131" si="13">IF(S68 &lt;&gt; "", "    (@COURSE_" &amp; $A68 &amp; "_" &amp; $B68 &amp; ", @COURSE_" &amp; MID(S68, 1, 3) &amp; "_" &amp; MID(S68, 5, 10) &amp; ", 'C');", "")</f>
        <v/>
      </c>
      <c r="Y68" s="1" t="s">
        <v>1742</v>
      </c>
      <c r="AA68" s="1" t="s">
        <v>449</v>
      </c>
      <c r="AB68" s="1" t="str">
        <f t="shared" ref="AB68:AC131" si="14">IF(AA68 &lt;&gt; "", "    (@COURSE_" &amp; $A68 &amp; "_" &amp; $B68 &amp; ", @COURSE_" &amp; MID(AA68, 1, 3) &amp; "_" &amp; MID(AA68, 5, 10) &amp; "),", "")</f>
        <v xml:space="preserve">    (@COURSE_CIS_4364, @COURSE_COP_4600),</v>
      </c>
    </row>
    <row r="69" spans="1:29" x14ac:dyDescent="0.3">
      <c r="A69" s="1" t="s">
        <v>102</v>
      </c>
      <c r="B69" s="1" t="s">
        <v>131</v>
      </c>
      <c r="C69" s="1" t="s">
        <v>132</v>
      </c>
      <c r="D69" s="1">
        <v>3</v>
      </c>
      <c r="E69" s="1" t="s">
        <v>451</v>
      </c>
      <c r="G69" s="1" t="s">
        <v>450</v>
      </c>
      <c r="I69" s="1" t="str">
        <f t="shared" si="8"/>
        <v xml:space="preserve">    ('CIS', '4368', 'Database Security and Audits', 3, 'An in-depth look at database security concepts and auditing techniques. Hands-on approach when examining security techniques. Examines different security strategies and advancements in implementation as well as problem solving.', 4000),</v>
      </c>
      <c r="K69" s="1" t="str">
        <f t="shared" si="9"/>
        <v xml:space="preserve">    @COURSE_CIS_4368  INT,</v>
      </c>
      <c r="M69" s="1" t="str">
        <f t="shared" si="10"/>
        <v>SELECT @COURSE_CIS_4368  = CourseID FROM Bellini.Course WHERE CoursePrefix = 'CIS' AND CourseNumber = '4368';</v>
      </c>
      <c r="O69" s="1" t="s">
        <v>925</v>
      </c>
      <c r="Q69" s="1" t="s">
        <v>451</v>
      </c>
      <c r="U69" s="1" t="str">
        <f t="shared" si="11"/>
        <v xml:space="preserve">    (@COURSE_CIS_4368, @COURSE_COP_3718, 'C');</v>
      </c>
      <c r="V69" s="1" t="str">
        <f t="shared" si="12"/>
        <v/>
      </c>
      <c r="W69" s="1" t="str">
        <f t="shared" si="13"/>
        <v/>
      </c>
      <c r="Y69" s="1" t="s">
        <v>1743</v>
      </c>
      <c r="AA69" s="1" t="s">
        <v>1291</v>
      </c>
      <c r="AB69" s="1" t="str">
        <f t="shared" si="14"/>
        <v/>
      </c>
    </row>
    <row r="70" spans="1:29" x14ac:dyDescent="0.3">
      <c r="A70" s="1" t="s">
        <v>102</v>
      </c>
      <c r="B70" s="1" t="s">
        <v>133</v>
      </c>
      <c r="C70" s="1" t="s">
        <v>134</v>
      </c>
      <c r="D70" s="1">
        <v>3</v>
      </c>
      <c r="E70" s="1" t="s">
        <v>453</v>
      </c>
      <c r="G70" s="1" t="s">
        <v>452</v>
      </c>
      <c r="I70" s="1" t="str">
        <f t="shared" si="8"/>
        <v xml:space="preserve">    ('CIS', '4622', 'Hands-on Cybersecurity', 3, 'This course covers hands-on skills for cybersecurity -- how to perform common offense and defense activities on computer networks, penetration testing, software exploit basics, basic network forensics, and basics on incident response.', 4000),</v>
      </c>
      <c r="K70" s="1" t="str">
        <f t="shared" si="9"/>
        <v xml:space="preserve">    @COURSE_CIS_4622  INT,</v>
      </c>
      <c r="M70" s="1" t="str">
        <f t="shared" si="10"/>
        <v>SELECT @COURSE_CIS_4622  = CourseID FROM Bellini.Course WHERE CoursePrefix = 'CIS' AND CourseNumber = '4622';</v>
      </c>
      <c r="O70" s="1" t="s">
        <v>926</v>
      </c>
      <c r="Q70" s="1" t="s">
        <v>453</v>
      </c>
      <c r="U70" s="1" t="str">
        <f t="shared" si="11"/>
        <v xml:space="preserve">    (@COURSE_CIS_4622, @COURSE_COP_2513, 'C');</v>
      </c>
      <c r="V70" s="1" t="str">
        <f t="shared" si="12"/>
        <v/>
      </c>
      <c r="W70" s="1" t="str">
        <f t="shared" si="13"/>
        <v/>
      </c>
      <c r="Y70" s="1" t="s">
        <v>1744</v>
      </c>
      <c r="AA70" s="1" t="s">
        <v>1291</v>
      </c>
      <c r="AB70" s="1" t="str">
        <f t="shared" si="14"/>
        <v/>
      </c>
      <c r="AC70" s="1" t="s">
        <v>1291</v>
      </c>
    </row>
    <row r="71" spans="1:29" x14ac:dyDescent="0.3">
      <c r="A71" s="1" t="s">
        <v>102</v>
      </c>
      <c r="B71" s="1" t="s">
        <v>135</v>
      </c>
      <c r="C71" s="1" t="s">
        <v>136</v>
      </c>
      <c r="D71" s="1">
        <v>3</v>
      </c>
      <c r="E71" s="1" t="s">
        <v>369</v>
      </c>
      <c r="G71" s="1" t="s">
        <v>454</v>
      </c>
      <c r="I71" s="1" t="str">
        <f t="shared" si="8"/>
        <v xml:space="preserve">    ('CIS', '4623', 'Practical Cybersecurity', 3, 'This course covers how to protect the security of realworld systems -- configuring host/network security settings, penetration testing, software exploit basics, and basics on incident response and forensics.', 4000),</v>
      </c>
      <c r="K71" s="1" t="str">
        <f t="shared" si="9"/>
        <v xml:space="preserve">    @COURSE_CIS_4623  INT,</v>
      </c>
      <c r="M71" s="1" t="str">
        <f t="shared" si="10"/>
        <v>SELECT @COURSE_CIS_4623  = CourseID FROM Bellini.Course WHERE CoursePrefix = 'CIS' AND CourseNumber = '4623';</v>
      </c>
      <c r="O71" s="1" t="s">
        <v>927</v>
      </c>
      <c r="Q71" s="1" t="s">
        <v>369</v>
      </c>
      <c r="U71" s="1" t="str">
        <f t="shared" si="11"/>
        <v xml:space="preserve">    (@COURSE_CIS_4623, @COURSE_COP_3331, 'C');</v>
      </c>
      <c r="V71" s="1" t="str">
        <f t="shared" si="12"/>
        <v/>
      </c>
      <c r="W71" s="1" t="str">
        <f t="shared" si="13"/>
        <v/>
      </c>
      <c r="Y71" s="1" t="s">
        <v>1745</v>
      </c>
      <c r="AA71" s="1" t="s">
        <v>1291</v>
      </c>
      <c r="AB71" s="1" t="str">
        <f t="shared" si="14"/>
        <v/>
      </c>
      <c r="AC71" s="1" t="s">
        <v>1291</v>
      </c>
    </row>
    <row r="72" spans="1:29" x14ac:dyDescent="0.3">
      <c r="A72" s="1" t="s">
        <v>102</v>
      </c>
      <c r="B72" s="1" t="s">
        <v>137</v>
      </c>
      <c r="C72" s="1" t="s">
        <v>138</v>
      </c>
      <c r="D72" s="1" t="s">
        <v>139</v>
      </c>
      <c r="E72" s="1" t="s">
        <v>385</v>
      </c>
      <c r="G72" s="1" t="s">
        <v>455</v>
      </c>
      <c r="I72" s="1" t="str">
        <f t="shared" si="8"/>
        <v xml:space="preserve">    ('CIS', '4900', 'Independent Study in Computer Science', 1-5, 'Specialized independent study determined by the needs and interests of the student.', 4000),</v>
      </c>
      <c r="K72" s="1" t="str">
        <f t="shared" si="9"/>
        <v xml:space="preserve">    @COURSE_CIS_4900  INT,</v>
      </c>
      <c r="M72" s="1" t="str">
        <f t="shared" si="10"/>
        <v>SELECT @COURSE_CIS_4900  = CourseID FROM Bellini.Course WHERE CoursePrefix = 'CIS' AND CourseNumber = '4900';</v>
      </c>
      <c r="O72" s="1" t="s">
        <v>928</v>
      </c>
      <c r="Q72" s="1" t="s">
        <v>366</v>
      </c>
      <c r="R72" s="1" t="s">
        <v>374</v>
      </c>
      <c r="U72" s="1" t="str">
        <f t="shared" si="11"/>
        <v xml:space="preserve">    (@COURSE_CIS_4900, @COURSE_COP_4530, 'C');</v>
      </c>
      <c r="V72" s="1" t="str">
        <f t="shared" si="12"/>
        <v xml:space="preserve">    (@COURSE_CIS_4900, @COURSE_CDA_3201, 'C');</v>
      </c>
      <c r="W72" s="1" t="str">
        <f t="shared" si="13"/>
        <v/>
      </c>
      <c r="Y72" s="1" t="s">
        <v>1746</v>
      </c>
      <c r="AA72" s="1" t="s">
        <v>1291</v>
      </c>
      <c r="AB72" s="1" t="str">
        <f t="shared" si="14"/>
        <v/>
      </c>
      <c r="AC72" s="1" t="s">
        <v>1291</v>
      </c>
    </row>
    <row r="73" spans="1:29" x14ac:dyDescent="0.3">
      <c r="A73" s="1" t="s">
        <v>102</v>
      </c>
      <c r="B73" s="1" t="s">
        <v>140</v>
      </c>
      <c r="C73" s="1" t="s">
        <v>141</v>
      </c>
      <c r="D73" s="1">
        <v>3</v>
      </c>
      <c r="E73" s="1" t="s">
        <v>366</v>
      </c>
      <c r="G73" s="1" t="s">
        <v>456</v>
      </c>
      <c r="I73" s="1" t="str">
        <f t="shared" si="8"/>
        <v xml:space="preserve">    ('CIS', '4910', 'Computer Science and Engineering Project', 3, 'Offers a focused team-based design experience incorporating appropriate engineering standards and multiple realistic constraints. Projects are proposed by industry and/or other partners and are completed within a defined development process.', 4000),</v>
      </c>
      <c r="K73" s="1" t="str">
        <f t="shared" si="9"/>
        <v xml:space="preserve">    @COURSE_CIS_4910  INT,</v>
      </c>
      <c r="M73" s="1" t="str">
        <f t="shared" si="10"/>
        <v>SELECT @COURSE_CIS_4910  = CourseID FROM Bellini.Course WHERE CoursePrefix = 'CIS' AND CourseNumber = '4910';</v>
      </c>
      <c r="O73" s="1" t="s">
        <v>929</v>
      </c>
      <c r="Q73" s="1" t="s">
        <v>366</v>
      </c>
      <c r="U73" s="1" t="str">
        <f t="shared" si="11"/>
        <v xml:space="preserve">    (@COURSE_CIS_4910, @COURSE_COP_4530, 'C');</v>
      </c>
      <c r="V73" s="1" t="str">
        <f t="shared" si="12"/>
        <v/>
      </c>
      <c r="W73" s="1" t="str">
        <f t="shared" si="13"/>
        <v/>
      </c>
      <c r="Y73" s="1" t="s">
        <v>1747</v>
      </c>
      <c r="AA73" s="1" t="s">
        <v>1291</v>
      </c>
      <c r="AB73" s="1" t="str">
        <f t="shared" si="14"/>
        <v/>
      </c>
      <c r="AC73" s="1" t="s">
        <v>1291</v>
      </c>
    </row>
    <row r="74" spans="1:29" x14ac:dyDescent="0.3">
      <c r="A74" s="1" t="s">
        <v>102</v>
      </c>
      <c r="B74" s="1" t="s">
        <v>142</v>
      </c>
      <c r="C74" s="1" t="s">
        <v>143</v>
      </c>
      <c r="D74" s="1" t="s">
        <v>139</v>
      </c>
      <c r="E74" s="1" t="s">
        <v>385</v>
      </c>
      <c r="G74" s="1" t="s">
        <v>457</v>
      </c>
      <c r="I74" s="1" t="str">
        <f t="shared" si="8"/>
        <v xml:space="preserve">    ('CIS', '4915', 'Supervised Research in Computer Science', 1-5, 'Supervised research determined by the needs and interests of the student.', 4000),</v>
      </c>
      <c r="K74" s="1" t="str">
        <f t="shared" si="9"/>
        <v xml:space="preserve">    @COURSE_CIS_4915  INT,</v>
      </c>
      <c r="M74" s="1" t="str">
        <f t="shared" si="10"/>
        <v>SELECT @COURSE_CIS_4915  = CourseID FROM Bellini.Course WHERE CoursePrefix = 'CIS' AND CourseNumber = '4915';</v>
      </c>
      <c r="O74" s="1" t="s">
        <v>930</v>
      </c>
      <c r="Q74" s="1" t="s">
        <v>366</v>
      </c>
      <c r="R74" s="1" t="s">
        <v>374</v>
      </c>
      <c r="U74" s="1" t="str">
        <f t="shared" si="11"/>
        <v xml:space="preserve">    (@COURSE_CIS_4915, @COURSE_COP_4530, 'C');</v>
      </c>
      <c r="V74" s="1" t="str">
        <f t="shared" si="12"/>
        <v xml:space="preserve">    (@COURSE_CIS_4915, @COURSE_CDA_3201, 'C');</v>
      </c>
      <c r="W74" s="1" t="str">
        <f t="shared" si="13"/>
        <v/>
      </c>
      <c r="Y74" s="1" t="s">
        <v>1748</v>
      </c>
      <c r="AA74" s="1" t="s">
        <v>1291</v>
      </c>
      <c r="AB74" s="1" t="str">
        <f t="shared" si="14"/>
        <v/>
      </c>
      <c r="AC74" s="1" t="s">
        <v>1291</v>
      </c>
    </row>
    <row r="75" spans="1:29" x14ac:dyDescent="0.3">
      <c r="A75" s="1" t="s">
        <v>102</v>
      </c>
      <c r="B75" s="1" t="s">
        <v>144</v>
      </c>
      <c r="C75" s="1" t="s">
        <v>145</v>
      </c>
      <c r="D75" s="1" t="s">
        <v>146</v>
      </c>
      <c r="E75" s="1" t="s">
        <v>385</v>
      </c>
      <c r="G75" s="1" t="s">
        <v>458</v>
      </c>
      <c r="I75" s="1" t="str">
        <f t="shared" si="8"/>
        <v xml:space="preserve">    ('CIS', '4930', 'Special Topics in Computer Science I', 1-3, 'Special topics in computer science and computer engineering.', 4000),</v>
      </c>
      <c r="K75" s="1" t="str">
        <f t="shared" si="9"/>
        <v xml:space="preserve">    @COURSE_CIS_4930  INT,</v>
      </c>
      <c r="M75" s="1" t="str">
        <f t="shared" si="10"/>
        <v>SELECT @COURSE_CIS_4930  = CourseID FROM Bellini.Course WHERE CoursePrefix = 'CIS' AND CourseNumber = '4930';</v>
      </c>
      <c r="O75" s="1" t="s">
        <v>931</v>
      </c>
      <c r="Q75" s="1" t="s">
        <v>366</v>
      </c>
      <c r="R75" s="1" t="s">
        <v>374</v>
      </c>
      <c r="U75" s="1" t="str">
        <f t="shared" si="11"/>
        <v xml:space="preserve">    (@COURSE_CIS_4930, @COURSE_COP_4530, 'C');</v>
      </c>
      <c r="V75" s="1" t="str">
        <f t="shared" si="12"/>
        <v xml:space="preserve">    (@COURSE_CIS_4930, @COURSE_CDA_3201, 'C');</v>
      </c>
      <c r="W75" s="1" t="str">
        <f t="shared" si="13"/>
        <v/>
      </c>
      <c r="Y75" s="1" t="s">
        <v>1749</v>
      </c>
      <c r="AA75" s="1" t="s">
        <v>1291</v>
      </c>
      <c r="AB75" s="1" t="str">
        <f t="shared" si="14"/>
        <v/>
      </c>
      <c r="AC75" s="1" t="s">
        <v>1291</v>
      </c>
    </row>
    <row r="76" spans="1:29" x14ac:dyDescent="0.3">
      <c r="A76" s="1" t="s">
        <v>102</v>
      </c>
      <c r="B76" s="1" t="s">
        <v>147</v>
      </c>
      <c r="C76" s="1" t="s">
        <v>148</v>
      </c>
      <c r="D76" s="1">
        <v>4</v>
      </c>
      <c r="G76" s="1" t="s">
        <v>459</v>
      </c>
      <c r="I76" s="1" t="str">
        <f t="shared" si="8"/>
        <v xml:space="preserve">    ('CIS', '4935', 'Senior Project in Information Technology', 4, 'This course is the capstone project for IT majors. Students are required to design, implement, and deliver a complete IT solution to a problem leveraging discipline-specific, critical thinking, and communication skills acquired in this major.', 4000),</v>
      </c>
      <c r="K76" s="1" t="str">
        <f t="shared" si="9"/>
        <v xml:space="preserve">    @COURSE_CIS_4935  INT,</v>
      </c>
      <c r="M76" s="1" t="str">
        <f t="shared" si="10"/>
        <v>SELECT @COURSE_CIS_4935  = CourseID FROM Bellini.Course WHERE CoursePrefix = 'CIS' AND CourseNumber = '4935';</v>
      </c>
      <c r="O76" s="1" t="s">
        <v>932</v>
      </c>
      <c r="U76" s="1" t="str">
        <f t="shared" si="11"/>
        <v/>
      </c>
      <c r="V76" s="1" t="str">
        <f t="shared" si="12"/>
        <v/>
      </c>
      <c r="W76" s="1" t="str">
        <f t="shared" si="13"/>
        <v/>
      </c>
      <c r="Y76" s="1" t="s">
        <v>1750</v>
      </c>
      <c r="AA76" s="1" t="s">
        <v>1291</v>
      </c>
      <c r="AB76" s="1" t="str">
        <f t="shared" si="14"/>
        <v/>
      </c>
      <c r="AC76" s="1" t="s">
        <v>1291</v>
      </c>
    </row>
    <row r="77" spans="1:29" x14ac:dyDescent="0.3">
      <c r="A77" s="1" t="s">
        <v>102</v>
      </c>
      <c r="B77" s="1" t="s">
        <v>149</v>
      </c>
      <c r="C77" s="1" t="s">
        <v>150</v>
      </c>
      <c r="D77" s="1" t="s">
        <v>151</v>
      </c>
      <c r="E77" s="1" t="s">
        <v>385</v>
      </c>
      <c r="G77" s="1" t="s">
        <v>460</v>
      </c>
      <c r="I77" s="1" t="str">
        <f t="shared" si="8"/>
        <v xml:space="preserve">    ('CIS', '4940', 'Industry Internship', 0-6, 'Individual study as practical computer science and/or computer engineering work under industrial supervision with a faculty approved outline and endof-semester report.', 4000),</v>
      </c>
      <c r="K77" s="1" t="str">
        <f t="shared" si="9"/>
        <v xml:space="preserve">    @COURSE_CIS_4940  INT,</v>
      </c>
      <c r="M77" s="1" t="str">
        <f t="shared" si="10"/>
        <v>SELECT @COURSE_CIS_4940  = CourseID FROM Bellini.Course WHERE CoursePrefix = 'CIS' AND CourseNumber = '4940';</v>
      </c>
      <c r="O77" s="1" t="s">
        <v>933</v>
      </c>
      <c r="Q77" s="1" t="s">
        <v>366</v>
      </c>
      <c r="R77" s="1" t="s">
        <v>374</v>
      </c>
      <c r="U77" s="1" t="str">
        <f t="shared" si="11"/>
        <v xml:space="preserve">    (@COURSE_CIS_4940, @COURSE_COP_4530, 'C');</v>
      </c>
      <c r="V77" s="1" t="str">
        <f t="shared" si="12"/>
        <v xml:space="preserve">    (@COURSE_CIS_4940, @COURSE_CDA_3201, 'C');</v>
      </c>
      <c r="W77" s="1" t="str">
        <f t="shared" si="13"/>
        <v/>
      </c>
      <c r="Y77" s="1" t="s">
        <v>1751</v>
      </c>
      <c r="AA77" s="1" t="s">
        <v>1291</v>
      </c>
      <c r="AB77" s="1" t="str">
        <f t="shared" si="14"/>
        <v/>
      </c>
      <c r="AC77" s="1" t="s">
        <v>1291</v>
      </c>
    </row>
    <row r="78" spans="1:29" x14ac:dyDescent="0.3">
      <c r="A78" s="1" t="s">
        <v>102</v>
      </c>
      <c r="B78" s="1" t="s">
        <v>152</v>
      </c>
      <c r="C78" s="1" t="s">
        <v>153</v>
      </c>
      <c r="D78" s="1" t="s">
        <v>139</v>
      </c>
      <c r="G78" s="1" t="s">
        <v>461</v>
      </c>
      <c r="I78" s="1" t="str">
        <f t="shared" si="8"/>
        <v xml:space="preserve">    ('CIS', '4947', 'Industry Internship for IT', 1-5, 'Practical information technology work under industrial supervision with a faculty-approved outline and endof-semester report.', 4000),</v>
      </c>
      <c r="K78" s="1" t="str">
        <f t="shared" si="9"/>
        <v xml:space="preserve">    @COURSE_CIS_4947  INT,</v>
      </c>
      <c r="M78" s="1" t="str">
        <f t="shared" si="10"/>
        <v>SELECT @COURSE_CIS_4947  = CourseID FROM Bellini.Course WHERE CoursePrefix = 'CIS' AND CourseNumber = '4947';</v>
      </c>
      <c r="O78" s="1" t="s">
        <v>934</v>
      </c>
      <c r="U78" s="1" t="str">
        <f t="shared" si="11"/>
        <v/>
      </c>
      <c r="V78" s="1" t="str">
        <f t="shared" si="12"/>
        <v/>
      </c>
      <c r="W78" s="1" t="str">
        <f t="shared" si="13"/>
        <v/>
      </c>
      <c r="Y78" s="1" t="s">
        <v>1752</v>
      </c>
      <c r="AA78" s="1" t="s">
        <v>1291</v>
      </c>
      <c r="AB78" s="1" t="str">
        <f t="shared" si="14"/>
        <v/>
      </c>
    </row>
    <row r="79" spans="1:29" x14ac:dyDescent="0.3">
      <c r="A79" s="1" t="s">
        <v>154</v>
      </c>
      <c r="B79" s="1" t="s">
        <v>155</v>
      </c>
      <c r="C79" s="1" t="s">
        <v>156</v>
      </c>
      <c r="D79" s="1">
        <v>3</v>
      </c>
      <c r="E79" s="1" t="s">
        <v>365</v>
      </c>
      <c r="F79" s="1" t="s">
        <v>366</v>
      </c>
      <c r="G79" s="1" t="s">
        <v>462</v>
      </c>
      <c r="I79" s="1" t="str">
        <f t="shared" si="8"/>
        <v xml:space="preserve">    ('CNT', '4004', 'Computer Networks I', 3, 'An introduction to the design and analysis of computer communication networks. Topics include application layer protocols, Internet protocols, network interfaces, local and wide area networks, wireless networks, bridging and routing, and current topics.', 4000),</v>
      </c>
      <c r="K79" s="1" t="str">
        <f t="shared" si="9"/>
        <v xml:space="preserve">    @COURSE_CNT_4004  INT,</v>
      </c>
      <c r="M79" s="1" t="str">
        <f t="shared" si="10"/>
        <v>SELECT @COURSE_CNT_4004  = CourseID FROM Bellini.Course WHERE CoursePrefix = 'CNT' AND CourseNumber = '4004';</v>
      </c>
      <c r="O79" s="1" t="s">
        <v>935</v>
      </c>
      <c r="Q79" s="1" t="s">
        <v>365</v>
      </c>
      <c r="U79" s="1" t="str">
        <f t="shared" si="11"/>
        <v xml:space="preserve">    (@COURSE_CNT_4004, @COURSE_COP_3514, 'C');</v>
      </c>
      <c r="V79" s="1" t="str">
        <f t="shared" si="12"/>
        <v/>
      </c>
      <c r="W79" s="1" t="str">
        <f t="shared" si="13"/>
        <v/>
      </c>
      <c r="Y79" s="1" t="s">
        <v>1753</v>
      </c>
      <c r="AA79" s="1" t="s">
        <v>366</v>
      </c>
      <c r="AB79" s="1" t="str">
        <f t="shared" si="14"/>
        <v xml:space="preserve">    (@COURSE_CNT_4004, @COURSE_COP_4530),</v>
      </c>
    </row>
    <row r="80" spans="1:29" x14ac:dyDescent="0.3">
      <c r="A80" s="1" t="s">
        <v>154</v>
      </c>
      <c r="B80" s="1" t="s">
        <v>157</v>
      </c>
      <c r="C80" s="1" t="s">
        <v>158</v>
      </c>
      <c r="D80" s="1">
        <v>3</v>
      </c>
      <c r="E80" s="1" t="s">
        <v>372</v>
      </c>
      <c r="F80" s="1" t="s">
        <v>464</v>
      </c>
      <c r="G80" s="1" t="s">
        <v>463</v>
      </c>
      <c r="I80" s="1" t="str">
        <f t="shared" si="8"/>
        <v xml:space="preserve">    ('CNT', '4104', 'Computer Information Networks for Information Technology', 3, 'Presents the design and analysis of computer networks. The emphasis is on application- and Internet-layer protocols. Network interfaces, Internet protocols, wireless networks, routing, and security issues are introduced.', 4000),</v>
      </c>
      <c r="K80" s="1" t="str">
        <f t="shared" si="9"/>
        <v xml:space="preserve">    @COURSE_CNT_4104  INT,</v>
      </c>
      <c r="M80" s="1" t="str">
        <f t="shared" si="10"/>
        <v>SELECT @COURSE_CNT_4104  = CourseID FROM Bellini.Course WHERE CoursePrefix = 'CNT' AND CourseNumber = '4104';</v>
      </c>
      <c r="O80" s="1" t="s">
        <v>936</v>
      </c>
      <c r="Q80" s="1" t="s">
        <v>372</v>
      </c>
      <c r="U80" s="1" t="str">
        <f t="shared" si="11"/>
        <v xml:space="preserve">    (@COURSE_CNT_4104, @COURSE_COP_3515, 'C');</v>
      </c>
      <c r="V80" s="1" t="str">
        <f t="shared" si="12"/>
        <v/>
      </c>
      <c r="W80" s="1" t="str">
        <f t="shared" si="13"/>
        <v/>
      </c>
      <c r="Y80" s="1" t="s">
        <v>1754</v>
      </c>
      <c r="AA80" s="1" t="s">
        <v>464</v>
      </c>
      <c r="AB80" s="1" t="str">
        <f t="shared" si="14"/>
        <v xml:space="preserve">    (@COURSE_CNT_4104, @COURSE_CNT_4104L),</v>
      </c>
    </row>
    <row r="81" spans="1:28" x14ac:dyDescent="0.3">
      <c r="A81" s="1" t="s">
        <v>154</v>
      </c>
      <c r="B81" s="1" t="s">
        <v>159</v>
      </c>
      <c r="C81" s="1" t="s">
        <v>160</v>
      </c>
      <c r="D81" s="1">
        <v>1</v>
      </c>
      <c r="E81" s="1" t="s">
        <v>372</v>
      </c>
      <c r="F81" s="1" t="s">
        <v>466</v>
      </c>
      <c r="G81" s="1" t="s">
        <v>465</v>
      </c>
      <c r="I81" s="1" t="str">
        <f t="shared" si="8"/>
        <v xml:space="preserve">    ('CNT', '4104L', 'Computer Information Networks Laboratory for Information Technology ', 1, 'This lab provides a hands-on introduction to computer networking and the protocols used to coordinate and control communications on them.', 4000),</v>
      </c>
      <c r="K81" s="1" t="str">
        <f t="shared" si="9"/>
        <v xml:space="preserve">    @COURSE_CNT_4104L INT,</v>
      </c>
      <c r="M81" s="1" t="str">
        <f t="shared" si="10"/>
        <v>SELECT @COURSE_CNT_4104L = CourseID FROM Bellini.Course WHERE CoursePrefix = 'CNT' AND CourseNumber = '4104L';</v>
      </c>
      <c r="O81" s="1" t="s">
        <v>861</v>
      </c>
      <c r="Q81" s="1" t="s">
        <v>372</v>
      </c>
      <c r="U81" s="1" t="str">
        <f t="shared" si="11"/>
        <v xml:space="preserve">    (@COURSE_CNT_4104L, @COURSE_COP_3515, 'C');</v>
      </c>
      <c r="V81" s="1" t="str">
        <f t="shared" si="12"/>
        <v/>
      </c>
      <c r="W81" s="1" t="str">
        <f t="shared" si="13"/>
        <v/>
      </c>
      <c r="Y81" s="1" t="s">
        <v>1755</v>
      </c>
      <c r="AA81" s="1" t="s">
        <v>466</v>
      </c>
      <c r="AB81" s="1" t="str">
        <f t="shared" si="14"/>
        <v xml:space="preserve">    (@COURSE_CNT_4104L, @COURSE_CNT_4104),</v>
      </c>
    </row>
    <row r="82" spans="1:28" x14ac:dyDescent="0.3">
      <c r="A82" s="1" t="s">
        <v>154</v>
      </c>
      <c r="B82" s="1" t="s">
        <v>161</v>
      </c>
      <c r="C82" s="1" t="s">
        <v>162</v>
      </c>
      <c r="D82" s="1">
        <v>3</v>
      </c>
      <c r="E82" s="1" t="s">
        <v>466</v>
      </c>
      <c r="G82" s="1" t="s">
        <v>469</v>
      </c>
      <c r="I82" s="1" t="str">
        <f t="shared" si="8"/>
        <v xml:space="preserve">    ('CNT', '4403', 'Network Security and Firewalls', 3, 'This course surveys network security standards and emphasizes applications that are widely used on the Internet and for corporate networks. This course also examines Firewalls and related tools used to provide both network and perimeter security.', 4000),</v>
      </c>
      <c r="K82" s="1" t="str">
        <f t="shared" si="9"/>
        <v xml:space="preserve">    @COURSE_CNT_4403  INT,</v>
      </c>
      <c r="M82" s="1" t="str">
        <f t="shared" si="10"/>
        <v>SELECT @COURSE_CNT_4403  = CourseID FROM Bellini.Course WHERE CoursePrefix = 'CNT' AND CourseNumber = '4403';</v>
      </c>
      <c r="O82" s="1" t="s">
        <v>937</v>
      </c>
      <c r="Q82" s="1" t="s">
        <v>466</v>
      </c>
      <c r="U82" s="1" t="str">
        <f t="shared" si="11"/>
        <v xml:space="preserve">    (@COURSE_CNT_4403, @COURSE_CNT_4104, 'C');</v>
      </c>
      <c r="V82" s="1" t="str">
        <f t="shared" si="12"/>
        <v/>
      </c>
      <c r="W82" s="1" t="str">
        <f t="shared" si="13"/>
        <v/>
      </c>
      <c r="Y82" s="1" t="s">
        <v>1756</v>
      </c>
      <c r="AA82" s="1" t="s">
        <v>1291</v>
      </c>
      <c r="AB82" s="1" t="str">
        <f t="shared" si="14"/>
        <v/>
      </c>
    </row>
    <row r="83" spans="1:28" x14ac:dyDescent="0.3">
      <c r="A83" s="1" t="s">
        <v>154</v>
      </c>
      <c r="B83" s="1" t="s">
        <v>163</v>
      </c>
      <c r="C83" s="1" t="s">
        <v>164</v>
      </c>
      <c r="D83" s="1">
        <v>3</v>
      </c>
      <c r="E83" s="1" t="s">
        <v>471</v>
      </c>
      <c r="F83" s="1" t="s">
        <v>366</v>
      </c>
      <c r="G83" s="1" t="s">
        <v>470</v>
      </c>
      <c r="I83" s="1" t="str">
        <f t="shared" si="8"/>
        <v xml:space="preserve">    ('CNT', '4411', 'Computing and Network Security', 3, 'The course is a study of fundamental concepts and principles of computing and network security. The course covers basic security topics, including symmetric and public key cryptography, digital signatures, hash functions,and network security protocols.', 4000),</v>
      </c>
      <c r="K83" s="1" t="str">
        <f t="shared" si="9"/>
        <v xml:space="preserve">    @COURSE_CNT_4411  INT,</v>
      </c>
      <c r="M83" s="1" t="str">
        <f t="shared" si="10"/>
        <v>SELECT @COURSE_CNT_4411  = CourseID FROM Bellini.Course WHERE CoursePrefix = 'CNT' AND CourseNumber = '4411';</v>
      </c>
      <c r="O83" s="1" t="s">
        <v>938</v>
      </c>
      <c r="Q83" s="1" t="s">
        <v>471</v>
      </c>
      <c r="U83" s="1" t="str">
        <f t="shared" si="11"/>
        <v xml:space="preserve">    (@COURSE_CNT_4411, @COURSE_COT_3100, 'C');</v>
      </c>
      <c r="V83" s="1" t="str">
        <f t="shared" si="12"/>
        <v/>
      </c>
      <c r="W83" s="1" t="str">
        <f t="shared" si="13"/>
        <v/>
      </c>
      <c r="Y83" s="1" t="s">
        <v>1757</v>
      </c>
      <c r="AA83" s="1" t="s">
        <v>366</v>
      </c>
      <c r="AB83" s="1" t="str">
        <f t="shared" si="14"/>
        <v xml:space="preserve">    (@COURSE_CNT_4411, @COURSE_COP_4530),</v>
      </c>
    </row>
    <row r="84" spans="1:28" x14ac:dyDescent="0.3">
      <c r="A84" s="1" t="s">
        <v>154</v>
      </c>
      <c r="B84" s="1" t="s">
        <v>165</v>
      </c>
      <c r="C84" s="1" t="s">
        <v>166</v>
      </c>
      <c r="D84" s="1">
        <v>3</v>
      </c>
      <c r="E84" s="1" t="s">
        <v>366</v>
      </c>
      <c r="G84" s="1" t="s">
        <v>472</v>
      </c>
      <c r="I84" s="1" t="str">
        <f t="shared" si="8"/>
        <v xml:space="preserve">    ('CNT', '4419', 'Secure Coding', 3, 'Principles and practices for secure computing and writing secure software, including software for performing information management and networking and communications.', 4000),</v>
      </c>
      <c r="K84" s="1" t="str">
        <f t="shared" si="9"/>
        <v xml:space="preserve">    @COURSE_CNT_4419  INT,</v>
      </c>
      <c r="M84" s="1" t="str">
        <f t="shared" si="10"/>
        <v>SELECT @COURSE_CNT_4419  = CourseID FROM Bellini.Course WHERE CoursePrefix = 'CNT' AND CourseNumber = '4419';</v>
      </c>
      <c r="O84" s="1" t="s">
        <v>939</v>
      </c>
      <c r="Q84" s="1" t="s">
        <v>366</v>
      </c>
      <c r="U84" s="1" t="str">
        <f t="shared" si="11"/>
        <v xml:space="preserve">    (@COURSE_CNT_4419, @COURSE_COP_4530, 'C');</v>
      </c>
      <c r="V84" s="1" t="str">
        <f t="shared" si="12"/>
        <v/>
      </c>
      <c r="W84" s="1" t="str">
        <f t="shared" si="13"/>
        <v/>
      </c>
      <c r="Y84" s="1" t="s">
        <v>1758</v>
      </c>
      <c r="AA84" s="1" t="s">
        <v>1291</v>
      </c>
      <c r="AB84" s="1" t="str">
        <f t="shared" si="14"/>
        <v/>
      </c>
    </row>
    <row r="85" spans="1:28" x14ac:dyDescent="0.3">
      <c r="A85" s="1" t="s">
        <v>154</v>
      </c>
      <c r="B85" s="1" t="s">
        <v>167</v>
      </c>
      <c r="C85" s="1" t="s">
        <v>168</v>
      </c>
      <c r="D85" s="1">
        <v>3</v>
      </c>
      <c r="E85" s="1" t="s">
        <v>466</v>
      </c>
      <c r="G85" s="1" t="s">
        <v>473</v>
      </c>
      <c r="I85" s="1" t="str">
        <f t="shared" si="8"/>
        <v xml:space="preserve">    ('CNT', '4603', 'System Administration and Maintenance for Information Technology', 3, 'Examines the activities related to the selection, installation and management of computer systems. Covers concepts essential to the administration of OS, networks, and services. Covers system documentation, policies and procedures.', 4000),</v>
      </c>
      <c r="K85" s="1" t="str">
        <f t="shared" si="9"/>
        <v xml:space="preserve">    @COURSE_CNT_4603  INT,</v>
      </c>
      <c r="M85" s="1" t="str">
        <f t="shared" si="10"/>
        <v>SELECT @COURSE_CNT_4603  = CourseID FROM Bellini.Course WHERE CoursePrefix = 'CNT' AND CourseNumber = '4603';</v>
      </c>
      <c r="O85" s="1" t="s">
        <v>940</v>
      </c>
      <c r="Q85" s="1" t="s">
        <v>466</v>
      </c>
      <c r="U85" s="1" t="str">
        <f t="shared" si="11"/>
        <v xml:space="preserve">    (@COURSE_CNT_4603, @COURSE_CNT_4104, 'C');</v>
      </c>
      <c r="V85" s="1" t="str">
        <f t="shared" si="12"/>
        <v/>
      </c>
      <c r="W85" s="1" t="str">
        <f t="shared" si="13"/>
        <v/>
      </c>
      <c r="Y85" s="1" t="s">
        <v>1759</v>
      </c>
      <c r="AA85" s="1" t="s">
        <v>1291</v>
      </c>
      <c r="AB85" s="1" t="str">
        <f t="shared" si="14"/>
        <v/>
      </c>
    </row>
    <row r="86" spans="1:28" x14ac:dyDescent="0.3">
      <c r="A86" s="1" t="s">
        <v>154</v>
      </c>
      <c r="B86" s="1" t="s">
        <v>169</v>
      </c>
      <c r="C86" s="1" t="s">
        <v>170</v>
      </c>
      <c r="D86" s="1">
        <v>3</v>
      </c>
      <c r="E86" s="1" t="s">
        <v>466</v>
      </c>
      <c r="G86" s="1" t="s">
        <v>474</v>
      </c>
      <c r="I86" s="1" t="str">
        <f t="shared" si="8"/>
        <v xml:space="preserve">    ('CNT', '4716C', 'Network Programming for IT ', 3, 'This course presents the fundamentals of network programming in C# .NET. In this course, the student will learn how to use the Visual Studio development environment to create Windows client and server applications. Topics include network object oriented programming, the study of network protocols, client/server applications, peer-to-peer applications, ASP.NET, Web Services, cloud computing and an introduction to Windows 8 Phone development.', 4000),</v>
      </c>
      <c r="K86" s="1" t="str">
        <f t="shared" si="9"/>
        <v xml:space="preserve">    @COURSE_CNT_4716C INT,</v>
      </c>
      <c r="M86" s="1" t="str">
        <f t="shared" si="10"/>
        <v>SELECT @COURSE_CNT_4716C = CourseID FROM Bellini.Course WHERE CoursePrefix = 'CNT' AND CourseNumber = '4716C';</v>
      </c>
      <c r="O86" s="1" t="s">
        <v>862</v>
      </c>
      <c r="Q86" s="1" t="s">
        <v>466</v>
      </c>
      <c r="U86" s="1" t="str">
        <f t="shared" si="11"/>
        <v xml:space="preserve">    (@COURSE_CNT_4716C, @COURSE_CNT_4104, 'C');</v>
      </c>
      <c r="V86" s="1" t="str">
        <f t="shared" si="12"/>
        <v/>
      </c>
      <c r="W86" s="1" t="str">
        <f t="shared" si="13"/>
        <v/>
      </c>
      <c r="Y86" s="1" t="s">
        <v>1760</v>
      </c>
      <c r="AA86" s="1" t="s">
        <v>1291</v>
      </c>
      <c r="AB86" s="1" t="str">
        <f t="shared" si="14"/>
        <v/>
      </c>
    </row>
    <row r="87" spans="1:28" x14ac:dyDescent="0.3">
      <c r="A87" s="1" t="s">
        <v>154</v>
      </c>
      <c r="B87" s="1" t="s">
        <v>171</v>
      </c>
      <c r="C87" s="1" t="s">
        <v>172</v>
      </c>
      <c r="D87" s="1">
        <v>3</v>
      </c>
      <c r="E87" s="1" t="s">
        <v>366</v>
      </c>
      <c r="G87" s="1" t="s">
        <v>475</v>
      </c>
      <c r="I87" s="1" t="str">
        <f t="shared" si="8"/>
        <v xml:space="preserve">    ('CNT', '4800', 'Network Science', 3, 'This course introduces the science of networks via elements of graph theory and practical analysis of real-life datasets.', 4000),</v>
      </c>
      <c r="K87" s="1" t="str">
        <f t="shared" si="9"/>
        <v xml:space="preserve">    @COURSE_CNT_4800  INT,</v>
      </c>
      <c r="M87" s="1" t="str">
        <f t="shared" si="10"/>
        <v>SELECT @COURSE_CNT_4800  = CourseID FROM Bellini.Course WHERE CoursePrefix = 'CNT' AND CourseNumber = '4800';</v>
      </c>
      <c r="O87" s="1" t="s">
        <v>941</v>
      </c>
      <c r="Q87" s="1" t="s">
        <v>366</v>
      </c>
      <c r="U87" s="1" t="str">
        <f t="shared" si="11"/>
        <v xml:space="preserve">    (@COURSE_CNT_4800, @COURSE_COP_4530, 'C');</v>
      </c>
      <c r="V87" s="1" t="str">
        <f t="shared" si="12"/>
        <v/>
      </c>
      <c r="W87" s="1" t="str">
        <f t="shared" si="13"/>
        <v/>
      </c>
      <c r="Y87" s="1" t="s">
        <v>1761</v>
      </c>
      <c r="AA87" s="1" t="s">
        <v>1291</v>
      </c>
      <c r="AB87" s="1" t="str">
        <f t="shared" si="14"/>
        <v/>
      </c>
    </row>
    <row r="88" spans="1:28" x14ac:dyDescent="0.3">
      <c r="A88" s="1" t="s">
        <v>173</v>
      </c>
      <c r="B88" s="1">
        <v>2030</v>
      </c>
      <c r="C88" s="1" t="s">
        <v>476</v>
      </c>
      <c r="D88" s="1">
        <v>3</v>
      </c>
      <c r="G88" s="1" t="s">
        <v>477</v>
      </c>
      <c r="I88" s="1" t="str">
        <f t="shared" si="8"/>
        <v xml:space="preserve">    ('COP', '2030', 'Programming Concepts I', 3, 'This course covers basic programming concepts using the Python language for implementation and developing problem solving skills.', 2000),</v>
      </c>
      <c r="K88" s="1" t="str">
        <f t="shared" si="9"/>
        <v xml:space="preserve">    @COURSE_COP_2030  INT,</v>
      </c>
      <c r="M88" s="1" t="str">
        <f t="shared" si="10"/>
        <v>SELECT @COURSE_COP_2030  = CourseID FROM Bellini.Course WHERE CoursePrefix = 'COP' AND CourseNumber = '2030';</v>
      </c>
      <c r="O88" s="1" t="s">
        <v>942</v>
      </c>
      <c r="U88" s="1" t="str">
        <f t="shared" si="11"/>
        <v/>
      </c>
      <c r="V88" s="1" t="str">
        <f t="shared" si="12"/>
        <v/>
      </c>
      <c r="W88" s="1" t="str">
        <f t="shared" si="13"/>
        <v/>
      </c>
      <c r="Y88" s="1" t="s">
        <v>1762</v>
      </c>
      <c r="AA88" s="1" t="s">
        <v>1291</v>
      </c>
      <c r="AB88" s="1" t="str">
        <f t="shared" si="14"/>
        <v/>
      </c>
    </row>
    <row r="89" spans="1:28" x14ac:dyDescent="0.3">
      <c r="A89" s="1" t="s">
        <v>173</v>
      </c>
      <c r="B89" s="1" t="s">
        <v>174</v>
      </c>
      <c r="C89" s="1" t="s">
        <v>175</v>
      </c>
      <c r="D89" s="1">
        <v>3</v>
      </c>
      <c r="E89" s="1" t="s">
        <v>479</v>
      </c>
      <c r="G89" s="1" t="s">
        <v>478</v>
      </c>
      <c r="I89" s="1" t="str">
        <f t="shared" si="8"/>
        <v xml:space="preserve">    ('COP', '2510', 'Programming Concepts', 3, 'An examination of a modern programming language emphasizing programming concepts and design methodology.', 2000),</v>
      </c>
      <c r="K89" s="1" t="str">
        <f t="shared" si="9"/>
        <v xml:space="preserve">    @COURSE_COP_2510  INT,</v>
      </c>
      <c r="M89" s="1" t="str">
        <f t="shared" si="10"/>
        <v>SELECT @COURSE_COP_2510  = CourseID FROM Bellini.Course WHERE CoursePrefix = 'COP' AND CourseNumber = '2510';</v>
      </c>
      <c r="O89" s="1" t="s">
        <v>943</v>
      </c>
      <c r="Q89" s="1" t="s">
        <v>511</v>
      </c>
      <c r="U89" s="1" t="str">
        <f t="shared" si="11"/>
        <v xml:space="preserve">    (@COURSE_COP_2510, @COURSE_MAC_2281, 'C');</v>
      </c>
      <c r="V89" s="1" t="str">
        <f t="shared" si="12"/>
        <v/>
      </c>
      <c r="W89" s="1" t="str">
        <f t="shared" si="13"/>
        <v/>
      </c>
      <c r="Y89" s="1" t="s">
        <v>1763</v>
      </c>
      <c r="AA89" s="1" t="s">
        <v>1291</v>
      </c>
      <c r="AB89" s="1" t="str">
        <f t="shared" si="14"/>
        <v/>
      </c>
    </row>
    <row r="90" spans="1:28" x14ac:dyDescent="0.3">
      <c r="A90" s="1" t="s">
        <v>173</v>
      </c>
      <c r="B90" s="1" t="s">
        <v>176</v>
      </c>
      <c r="C90" s="1" t="s">
        <v>177</v>
      </c>
      <c r="D90" s="1">
        <v>3</v>
      </c>
      <c r="G90" s="1" t="s">
        <v>480</v>
      </c>
      <c r="I90" s="1" t="str">
        <f t="shared" si="8"/>
        <v xml:space="preserve">    ('COP', '2512', 'Programming Fundamentals for Information Technology', 3, 'An introduction to computer programming using a modern high-level language with IT applications. Topics include variables, types, expressions, and assignment, control structures, I/O, functions, and structured decomposition.', 2000),</v>
      </c>
      <c r="K90" s="1" t="str">
        <f t="shared" si="9"/>
        <v xml:space="preserve">    @COURSE_COP_2512  INT,</v>
      </c>
      <c r="M90" s="1" t="str">
        <f t="shared" si="10"/>
        <v>SELECT @COURSE_COP_2512  = CourseID FROM Bellini.Course WHERE CoursePrefix = 'COP' AND CourseNumber = '2512';</v>
      </c>
      <c r="O90" s="1" t="s">
        <v>944</v>
      </c>
      <c r="U90" s="1" t="str">
        <f t="shared" si="11"/>
        <v/>
      </c>
      <c r="V90" s="1" t="str">
        <f t="shared" si="12"/>
        <v/>
      </c>
      <c r="W90" s="1" t="str">
        <f t="shared" si="13"/>
        <v/>
      </c>
      <c r="Y90" s="1" t="s">
        <v>1764</v>
      </c>
      <c r="AA90" s="1" t="s">
        <v>1291</v>
      </c>
      <c r="AB90" s="1" t="str">
        <f t="shared" si="14"/>
        <v/>
      </c>
    </row>
    <row r="91" spans="1:28" x14ac:dyDescent="0.3">
      <c r="A91" s="1" t="s">
        <v>173</v>
      </c>
      <c r="B91" s="1" t="s">
        <v>178</v>
      </c>
      <c r="C91" s="1" t="s">
        <v>179</v>
      </c>
      <c r="D91" s="1">
        <v>3</v>
      </c>
      <c r="E91" s="1" t="s">
        <v>431</v>
      </c>
      <c r="G91" s="1" t="s">
        <v>481</v>
      </c>
      <c r="I91" s="1" t="str">
        <f t="shared" si="8"/>
        <v xml:space="preserve">    ('COP', '2513', 'Object Oriented Programming for Information Technology', 3, 'An introduction to object oriented programming emphasizing an objects first approach with applications to IT. Objects, methods, and classes are studied in detail. Students design and implement object-oriented programs to solve IT problems.', 2000),</v>
      </c>
      <c r="K91" s="1" t="str">
        <f t="shared" si="9"/>
        <v xml:space="preserve">    @COURSE_COP_2513  INT,</v>
      </c>
      <c r="M91" s="1" t="str">
        <f t="shared" si="10"/>
        <v>SELECT @COURSE_COP_2513  = CourseID FROM Bellini.Course WHERE CoursePrefix = 'COP' AND CourseNumber = '2513';</v>
      </c>
      <c r="O91" s="1" t="s">
        <v>945</v>
      </c>
      <c r="Q91" s="1" t="s">
        <v>431</v>
      </c>
      <c r="U91" s="1" t="str">
        <f t="shared" si="11"/>
        <v xml:space="preserve">    (@COURSE_COP_2513, @COURSE_COP_2512, 'C');</v>
      </c>
      <c r="V91" s="1" t="str">
        <f t="shared" si="12"/>
        <v/>
      </c>
      <c r="W91" s="1" t="str">
        <f t="shared" si="13"/>
        <v/>
      </c>
      <c r="Y91" s="1" t="s">
        <v>1765</v>
      </c>
      <c r="AA91" s="1" t="s">
        <v>1291</v>
      </c>
      <c r="AB91" s="1" t="str">
        <f t="shared" si="14"/>
        <v/>
      </c>
    </row>
    <row r="92" spans="1:28" x14ac:dyDescent="0.3">
      <c r="A92" s="1" t="s">
        <v>173</v>
      </c>
      <c r="B92" s="1">
        <v>2700</v>
      </c>
      <c r="C92" s="1" t="s">
        <v>492</v>
      </c>
      <c r="D92" s="1">
        <v>3</v>
      </c>
      <c r="E92" s="1" t="s">
        <v>467</v>
      </c>
      <c r="G92" s="1" t="s">
        <v>493</v>
      </c>
      <c r="I92" s="1" t="str">
        <f t="shared" si="8"/>
        <v xml:space="preserve">    ('COP', '2700', 'Database Systems Basics', 3, 'Database systems are described with particular emphasis on Relational Database Management Systems (RDBMS). SQLite is the target RDBMS. It is programmatically driven with the Python language and OpenOffice base.', 2000),</v>
      </c>
      <c r="K92" s="1" t="str">
        <f t="shared" si="9"/>
        <v xml:space="preserve">    @COURSE_COP_2700  INT,</v>
      </c>
      <c r="M92" s="1" t="str">
        <f t="shared" si="10"/>
        <v>SELECT @COURSE_COP_2700  = CourseID FROM Bellini.Course WHERE CoursePrefix = 'COP' AND CourseNumber = '2700';</v>
      </c>
      <c r="O92" s="1" t="s">
        <v>946</v>
      </c>
      <c r="Q92" s="1" t="s">
        <v>467</v>
      </c>
      <c r="U92" s="1" t="str">
        <f t="shared" si="11"/>
        <v xml:space="preserve">    (@COURSE_COP_2700, @COURSE_COP_2030, 'C');</v>
      </c>
      <c r="V92" s="1" t="str">
        <f t="shared" si="12"/>
        <v/>
      </c>
      <c r="W92" s="1" t="str">
        <f t="shared" si="13"/>
        <v/>
      </c>
      <c r="Y92" s="1" t="s">
        <v>1766</v>
      </c>
      <c r="AA92" s="1" t="s">
        <v>1291</v>
      </c>
      <c r="AB92" s="1" t="str">
        <f t="shared" si="14"/>
        <v/>
      </c>
    </row>
    <row r="93" spans="1:28" x14ac:dyDescent="0.3">
      <c r="A93" s="1" t="s">
        <v>173</v>
      </c>
      <c r="B93" s="1">
        <v>3331</v>
      </c>
      <c r="C93" s="1" t="s">
        <v>483</v>
      </c>
      <c r="D93" s="1">
        <v>3</v>
      </c>
      <c r="E93" s="1" t="s">
        <v>365</v>
      </c>
      <c r="F93" s="1" t="s">
        <v>484</v>
      </c>
      <c r="G93" s="1" t="s">
        <v>482</v>
      </c>
      <c r="I93" s="1" t="str">
        <f t="shared" si="8"/>
        <v xml:space="preserve">    ('COP', '3331', 'Object Oriented Software Design', 3, 'Design of a computer program using an ObjectOriented programming language. Extension of programming knowledge from a procedural language to an object-oriented language. Analysis of program requirements.', 3000),</v>
      </c>
      <c r="K93" s="1" t="str">
        <f t="shared" si="9"/>
        <v xml:space="preserve">    @COURSE_COP_3331  INT,</v>
      </c>
      <c r="M93" s="1" t="str">
        <f t="shared" si="10"/>
        <v>SELECT @COURSE_COP_3331  = CourseID FROM Bellini.Course WHERE CoursePrefix = 'COP' AND CourseNumber = '3331';</v>
      </c>
      <c r="O93" s="1" t="s">
        <v>947</v>
      </c>
      <c r="Q93" s="1" t="s">
        <v>365</v>
      </c>
      <c r="U93" s="1" t="str">
        <f t="shared" si="11"/>
        <v xml:space="preserve">    (@COURSE_COP_3331, @COURSE_COP_3514, 'C');</v>
      </c>
      <c r="V93" s="1" t="str">
        <f t="shared" si="12"/>
        <v/>
      </c>
      <c r="W93" s="1" t="str">
        <f t="shared" si="13"/>
        <v/>
      </c>
      <c r="Y93" s="1" t="s">
        <v>1767</v>
      </c>
      <c r="AA93" s="1" t="s">
        <v>484</v>
      </c>
      <c r="AB93" s="1" t="str">
        <f t="shared" si="14"/>
        <v xml:space="preserve">    (@COURSE_COP_3331, @COURSE_CDA_3103),</v>
      </c>
    </row>
    <row r="94" spans="1:28" x14ac:dyDescent="0.3">
      <c r="A94" s="1" t="s">
        <v>173</v>
      </c>
      <c r="B94" s="1" t="s">
        <v>180</v>
      </c>
      <c r="C94" s="1" t="s">
        <v>181</v>
      </c>
      <c r="D94" s="1">
        <v>3</v>
      </c>
      <c r="E94" s="1" t="s">
        <v>431</v>
      </c>
      <c r="G94" s="1" t="s">
        <v>485</v>
      </c>
      <c r="I94" s="1" t="str">
        <f t="shared" si="8"/>
        <v xml:space="preserve">    ('COP', '3353', 'User-Level Introduction to Linux for IT', 3, 'Description Introduction to a modern Linux distribution; installation in a desktop-friendly virtualized environment, users and software packages management, usage of the shell for navigation, and text processing command line tools.', 3000),</v>
      </c>
      <c r="K94" s="1" t="str">
        <f t="shared" si="9"/>
        <v xml:space="preserve">    @COURSE_COP_3353  INT,</v>
      </c>
      <c r="M94" s="1" t="str">
        <f t="shared" si="10"/>
        <v>SELECT @COURSE_COP_3353  = CourseID FROM Bellini.Course WHERE CoursePrefix = 'COP' AND CourseNumber = '3353';</v>
      </c>
      <c r="O94" s="1" t="s">
        <v>948</v>
      </c>
      <c r="Q94" s="1" t="s">
        <v>431</v>
      </c>
      <c r="U94" s="1" t="str">
        <f t="shared" si="11"/>
        <v xml:space="preserve">    (@COURSE_COP_3353, @COURSE_COP_2512, 'C');</v>
      </c>
      <c r="V94" s="1" t="str">
        <f t="shared" si="12"/>
        <v/>
      </c>
      <c r="W94" s="1" t="str">
        <f t="shared" si="13"/>
        <v/>
      </c>
      <c r="Y94" s="1" t="s">
        <v>1768</v>
      </c>
      <c r="AA94" s="1" t="s">
        <v>1291</v>
      </c>
      <c r="AB94" s="1" t="str">
        <f t="shared" si="14"/>
        <v/>
      </c>
    </row>
    <row r="95" spans="1:28" x14ac:dyDescent="0.3">
      <c r="A95" s="1" t="s">
        <v>173</v>
      </c>
      <c r="B95" s="1" t="s">
        <v>182</v>
      </c>
      <c r="C95" s="1" t="s">
        <v>183</v>
      </c>
      <c r="D95" s="1">
        <v>3</v>
      </c>
      <c r="E95" s="1" t="s">
        <v>387</v>
      </c>
      <c r="G95" s="1" t="s">
        <v>486</v>
      </c>
      <c r="I95" s="1" t="str">
        <f t="shared" si="8"/>
        <v xml:space="preserve">    ('COP', '3514', 'Program Design', 3, 'The class extends students' programming knowledge by systematically considering the concepts involved in program design and creation. Students will also build upon their previous programming experience by learning to use the C programming language in a networked environment.', 3000),</v>
      </c>
      <c r="K95" s="1" t="str">
        <f t="shared" si="9"/>
        <v xml:space="preserve">    @COURSE_COP_3514  INT,</v>
      </c>
      <c r="M95" s="1" t="str">
        <f t="shared" si="10"/>
        <v>SELECT @COURSE_COP_3514  = CourseID FROM Bellini.Course WHERE CoursePrefix = 'COP' AND CourseNumber = '3514';</v>
      </c>
      <c r="O95" s="1" t="s">
        <v>949</v>
      </c>
      <c r="Q95" s="1" t="s">
        <v>387</v>
      </c>
      <c r="U95" s="1" t="str">
        <f t="shared" si="11"/>
        <v xml:space="preserve">    (@COURSE_COP_3514, @COURSE_COP_2510, 'C');</v>
      </c>
      <c r="V95" s="1" t="str">
        <f t="shared" si="12"/>
        <v/>
      </c>
      <c r="W95" s="1" t="str">
        <f t="shared" si="13"/>
        <v/>
      </c>
      <c r="Y95" s="1" t="s">
        <v>1769</v>
      </c>
      <c r="AA95" s="1" t="s">
        <v>1291</v>
      </c>
      <c r="AB95" s="1" t="str">
        <f t="shared" si="14"/>
        <v/>
      </c>
    </row>
    <row r="96" spans="1:28" x14ac:dyDescent="0.3">
      <c r="A96" s="1" t="s">
        <v>173</v>
      </c>
      <c r="B96" s="1" t="s">
        <v>184</v>
      </c>
      <c r="C96" s="1" t="s">
        <v>185</v>
      </c>
      <c r="D96" s="1">
        <v>3</v>
      </c>
      <c r="E96" s="1" t="s">
        <v>488</v>
      </c>
      <c r="G96" s="1" t="s">
        <v>487</v>
      </c>
      <c r="I96" s="1" t="str">
        <f t="shared" si="8"/>
        <v xml:space="preserve">    ('COP', '3515', 'Advanced Program Design for Information Technology', 3, 'Covers problem solving with an emphasis on the creation of programs to be developed and maintained in a variety of environments from small to large IT organizations. Concepts relating to program efficiency are studied.', 3000),</v>
      </c>
      <c r="K96" s="1" t="str">
        <f t="shared" si="9"/>
        <v xml:space="preserve">    @COURSE_COP_3515  INT,</v>
      </c>
      <c r="M96" s="1" t="str">
        <f t="shared" si="10"/>
        <v>SELECT @COURSE_COP_3515  = CourseID FROM Bellini.Course WHERE CoursePrefix = 'COP' AND CourseNumber = '3515';</v>
      </c>
      <c r="O96" s="1" t="s">
        <v>950</v>
      </c>
      <c r="Q96" s="1" t="s">
        <v>434</v>
      </c>
      <c r="R96" s="1" t="s">
        <v>453</v>
      </c>
      <c r="U96" s="1" t="str">
        <f t="shared" si="11"/>
        <v xml:space="preserve">    (@COURSE_COP_3515, @COURSE_MAD_2104, 'C');</v>
      </c>
      <c r="V96" s="1" t="str">
        <f t="shared" si="12"/>
        <v xml:space="preserve">    (@COURSE_COP_3515, @COURSE_COP_2513, 'C');</v>
      </c>
      <c r="W96" s="1" t="str">
        <f t="shared" si="13"/>
        <v/>
      </c>
      <c r="Y96" s="1" t="s">
        <v>1770</v>
      </c>
      <c r="AA96" s="1" t="s">
        <v>1291</v>
      </c>
      <c r="AB96" s="1" t="str">
        <f t="shared" si="14"/>
        <v/>
      </c>
    </row>
    <row r="97" spans="1:29" x14ac:dyDescent="0.3">
      <c r="A97" s="1" t="s">
        <v>173</v>
      </c>
      <c r="B97" s="1">
        <v>3718</v>
      </c>
      <c r="C97" s="1" t="s">
        <v>489</v>
      </c>
      <c r="D97" s="1">
        <v>3</v>
      </c>
      <c r="E97" s="1" t="s">
        <v>491</v>
      </c>
      <c r="G97" s="1" t="s">
        <v>490</v>
      </c>
      <c r="I97" s="1" t="str">
        <f t="shared" si="8"/>
        <v xml:space="preserve">    ('COP', '3718', 'Database Systems Design', 3, 'This course provides an in-depth treatment of working with Relational Database Management System (DBMS), with particular reference to MySQL. It also shows how to interface with MySQL using both PHP and Java languages.', 3000),</v>
      </c>
      <c r="K97" s="1" t="str">
        <f t="shared" si="9"/>
        <v xml:space="preserve">    @COURSE_COP_3718  INT,</v>
      </c>
      <c r="M97" s="1" t="str">
        <f t="shared" si="10"/>
        <v>SELECT @COURSE_COP_3718  = CourseID FROM Bellini.Course WHERE CoursePrefix = 'COP' AND CourseNumber = '3718';</v>
      </c>
      <c r="O97" s="1" t="s">
        <v>951</v>
      </c>
      <c r="Q97" s="1" t="s">
        <v>491</v>
      </c>
      <c r="U97" s="1" t="str">
        <f t="shared" si="11"/>
        <v xml:space="preserve">    (@COURSE_COP_3718, @COURSE_COP_2700, 'C');</v>
      </c>
      <c r="V97" s="1" t="str">
        <f t="shared" si="12"/>
        <v/>
      </c>
      <c r="W97" s="1" t="str">
        <f t="shared" si="13"/>
        <v/>
      </c>
      <c r="Y97" s="1" t="s">
        <v>1771</v>
      </c>
      <c r="AA97" s="1" t="s">
        <v>1291</v>
      </c>
      <c r="AB97" s="1" t="str">
        <f t="shared" si="14"/>
        <v/>
      </c>
      <c r="AC97" s="1" t="s">
        <v>1291</v>
      </c>
    </row>
    <row r="98" spans="1:29" x14ac:dyDescent="0.3">
      <c r="A98" s="1" t="s">
        <v>173</v>
      </c>
      <c r="B98" s="1" t="s">
        <v>79</v>
      </c>
      <c r="C98" s="1" t="s">
        <v>186</v>
      </c>
      <c r="D98" s="1">
        <v>3</v>
      </c>
      <c r="E98" s="1" t="s">
        <v>366</v>
      </c>
      <c r="G98" s="1" t="s">
        <v>494</v>
      </c>
      <c r="I98" s="1" t="str">
        <f t="shared" si="8"/>
        <v xml:space="preserve">    ('COP', '4020', 'Programming Languages', 3, 'An introduction to the specification, design, and analysis of programming languages. Topics include syntax, operational semantics, type systems, type safety, lambda calculus, functional programming, polymorphism, side effects, and objects.', 4000),</v>
      </c>
      <c r="K98" s="1" t="str">
        <f t="shared" si="9"/>
        <v xml:space="preserve">    @COURSE_COP_4020  INT,</v>
      </c>
      <c r="M98" s="1" t="str">
        <f t="shared" si="10"/>
        <v>SELECT @COURSE_COP_4020  = CourseID FROM Bellini.Course WHERE CoursePrefix = 'COP' AND CourseNumber = '4020';</v>
      </c>
      <c r="O98" s="1" t="s">
        <v>952</v>
      </c>
      <c r="Q98" s="1" t="s">
        <v>366</v>
      </c>
      <c r="U98" s="1" t="str">
        <f t="shared" si="11"/>
        <v xml:space="preserve">    (@COURSE_COP_4020, @COURSE_COP_4530, 'C');</v>
      </c>
      <c r="V98" s="1" t="str">
        <f t="shared" si="12"/>
        <v/>
      </c>
      <c r="W98" s="1" t="str">
        <f t="shared" si="13"/>
        <v/>
      </c>
      <c r="Y98" s="1" t="s">
        <v>1772</v>
      </c>
      <c r="AA98" s="1" t="s">
        <v>1291</v>
      </c>
      <c r="AB98" s="1" t="str">
        <f t="shared" si="14"/>
        <v/>
      </c>
      <c r="AC98" s="1" t="s">
        <v>1291</v>
      </c>
    </row>
    <row r="99" spans="1:29" x14ac:dyDescent="0.3">
      <c r="A99" s="1" t="s">
        <v>173</v>
      </c>
      <c r="B99" s="1" t="s">
        <v>187</v>
      </c>
      <c r="C99" s="1" t="s">
        <v>188</v>
      </c>
      <c r="D99" s="1">
        <v>3</v>
      </c>
      <c r="E99" s="1" t="s">
        <v>366</v>
      </c>
      <c r="G99" s="1" t="s">
        <v>495</v>
      </c>
      <c r="I99" s="1" t="str">
        <f t="shared" si="8"/>
        <v xml:space="preserve">    ('COP', '4365', 'Software System Development', 3, 'Analysis, design, and development of software systems using objective methodology with object oriented programming and advanced software development tools (such as integrated development environments).', 4000),</v>
      </c>
      <c r="K99" s="1" t="str">
        <f t="shared" si="9"/>
        <v xml:space="preserve">    @COURSE_COP_4365  INT,</v>
      </c>
      <c r="M99" s="1" t="str">
        <f t="shared" si="10"/>
        <v>SELECT @COURSE_COP_4365  = CourseID FROM Bellini.Course WHERE CoursePrefix = 'COP' AND CourseNumber = '4365';</v>
      </c>
      <c r="O99" s="1" t="s">
        <v>953</v>
      </c>
      <c r="Q99" s="1" t="s">
        <v>366</v>
      </c>
      <c r="U99" s="1" t="str">
        <f t="shared" si="11"/>
        <v xml:space="preserve">    (@COURSE_COP_4365, @COURSE_COP_4530, 'C');</v>
      </c>
      <c r="V99" s="1" t="str">
        <f t="shared" si="12"/>
        <v/>
      </c>
      <c r="W99" s="1" t="str">
        <f t="shared" si="13"/>
        <v/>
      </c>
      <c r="Y99" s="1" t="s">
        <v>1773</v>
      </c>
      <c r="AA99" s="1" t="s">
        <v>1291</v>
      </c>
      <c r="AB99" s="1" t="str">
        <f t="shared" si="14"/>
        <v/>
      </c>
      <c r="AC99" s="1" t="s">
        <v>1291</v>
      </c>
    </row>
    <row r="100" spans="1:29" x14ac:dyDescent="0.3">
      <c r="A100" s="1" t="s">
        <v>173</v>
      </c>
      <c r="B100" s="1" t="s">
        <v>131</v>
      </c>
      <c r="C100" s="1" t="s">
        <v>189</v>
      </c>
      <c r="D100" s="1">
        <v>3</v>
      </c>
      <c r="E100" s="1" t="s">
        <v>453</v>
      </c>
      <c r="G100" s="1" t="s">
        <v>496</v>
      </c>
      <c r="I100" s="1" t="str">
        <f t="shared" si="8"/>
        <v xml:space="preserve">    ('COP', '4368', 'Adv Object-Oriented Programming for IT', 3, 'Advanced object-oriented programming techniques and applications. Topics include GUI design, visual objects, event handling, data validation, interfaces, database connection, etc.', 4000),</v>
      </c>
      <c r="K100" s="1" t="str">
        <f t="shared" si="9"/>
        <v xml:space="preserve">    @COURSE_COP_4368  INT,</v>
      </c>
      <c r="M100" s="1" t="str">
        <f t="shared" si="10"/>
        <v>SELECT @COURSE_COP_4368  = CourseID FROM Bellini.Course WHERE CoursePrefix = 'COP' AND CourseNumber = '4368';</v>
      </c>
      <c r="O100" s="1" t="s">
        <v>954</v>
      </c>
      <c r="Q100" s="1" t="s">
        <v>453</v>
      </c>
      <c r="U100" s="1" t="str">
        <f t="shared" si="11"/>
        <v xml:space="preserve">    (@COURSE_COP_4368, @COURSE_COP_2513, 'C');</v>
      </c>
      <c r="V100" s="1" t="str">
        <f t="shared" si="12"/>
        <v/>
      </c>
      <c r="W100" s="1" t="str">
        <f t="shared" si="13"/>
        <v/>
      </c>
      <c r="Y100" s="1" t="s">
        <v>1774</v>
      </c>
      <c r="AA100" s="1" t="s">
        <v>1291</v>
      </c>
      <c r="AB100" s="1" t="str">
        <f t="shared" si="14"/>
        <v/>
      </c>
      <c r="AC100" s="1" t="s">
        <v>1291</v>
      </c>
    </row>
    <row r="101" spans="1:29" x14ac:dyDescent="0.3">
      <c r="A101" s="1" t="s">
        <v>173</v>
      </c>
      <c r="B101" s="1" t="s">
        <v>190</v>
      </c>
      <c r="C101" s="1" t="s">
        <v>191</v>
      </c>
      <c r="D101" s="1">
        <v>3</v>
      </c>
      <c r="E101" s="1" t="s">
        <v>366</v>
      </c>
      <c r="G101" s="1" t="s">
        <v>497</v>
      </c>
      <c r="I101" s="1" t="str">
        <f t="shared" si="8"/>
        <v xml:space="preserve">    ('COP', '4520', 'Computing in Massively Parallel Systems', 3, 'This course will cover basics in large-scale parallel computing and CUDA programming, and advanced techniques for parallel code optimization and domain-specific case studies.', 4000),</v>
      </c>
      <c r="K101" s="1" t="str">
        <f t="shared" si="9"/>
        <v xml:space="preserve">    @COURSE_COP_4520  INT,</v>
      </c>
      <c r="M101" s="1" t="str">
        <f t="shared" si="10"/>
        <v>SELECT @COURSE_COP_4520  = CourseID FROM Bellini.Course WHERE CoursePrefix = 'COP' AND CourseNumber = '4520';</v>
      </c>
      <c r="O101" s="1" t="s">
        <v>955</v>
      </c>
      <c r="Q101" s="1" t="s">
        <v>366</v>
      </c>
      <c r="U101" s="1" t="str">
        <f t="shared" si="11"/>
        <v xml:space="preserve">    (@COURSE_COP_4520, @COURSE_COP_4530, 'C');</v>
      </c>
      <c r="V101" s="1" t="str">
        <f t="shared" si="12"/>
        <v/>
      </c>
      <c r="W101" s="1" t="str">
        <f t="shared" si="13"/>
        <v/>
      </c>
      <c r="Y101" s="1" t="s">
        <v>1775</v>
      </c>
      <c r="AA101" s="1" t="s">
        <v>1291</v>
      </c>
      <c r="AB101" s="1" t="str">
        <f t="shared" si="14"/>
        <v/>
      </c>
      <c r="AC101" s="1" t="s">
        <v>1291</v>
      </c>
    </row>
    <row r="102" spans="1:29" x14ac:dyDescent="0.3">
      <c r="A102" s="1" t="s">
        <v>173</v>
      </c>
      <c r="B102" s="1" t="s">
        <v>192</v>
      </c>
      <c r="C102" s="1" t="s">
        <v>193</v>
      </c>
      <c r="D102" s="1">
        <v>3</v>
      </c>
      <c r="E102" s="1" t="s">
        <v>500</v>
      </c>
      <c r="G102" s="1" t="s">
        <v>499</v>
      </c>
      <c r="I102" s="1" t="str">
        <f t="shared" si="8"/>
        <v xml:space="preserve">    ('COP', '4530', 'Data Structures', 3, 'Understand and implement fundamentals of concise data structure and organization for program efficiency, clarity and simplification. Implementation of different data types and structures. Understanding of current data structures. Functional programming concepts will be covered.', 4000),</v>
      </c>
      <c r="K102" s="1" t="str">
        <f t="shared" si="9"/>
        <v xml:space="preserve">    @COURSE_COP_4530  INT,</v>
      </c>
      <c r="M102" s="1" t="str">
        <f t="shared" si="10"/>
        <v>SELECT @COURSE_COP_4530  = CourseID FROM Bellini.Course WHERE CoursePrefix = 'COP' AND CourseNumber = '4530';</v>
      </c>
      <c r="O102" s="1" t="s">
        <v>956</v>
      </c>
      <c r="Q102" s="1" t="s">
        <v>365</v>
      </c>
      <c r="R102" s="1" t="s">
        <v>484</v>
      </c>
      <c r="U102" s="1" t="str">
        <f t="shared" si="11"/>
        <v xml:space="preserve">    (@COURSE_COP_4530, @COURSE_COP_3514, 'C');</v>
      </c>
      <c r="V102" s="1" t="str">
        <f t="shared" si="12"/>
        <v xml:space="preserve">    (@COURSE_COP_4530, @COURSE_CDA_3103, 'C');</v>
      </c>
      <c r="W102" s="1" t="str">
        <f t="shared" si="13"/>
        <v/>
      </c>
      <c r="Y102" s="1" t="s">
        <v>1776</v>
      </c>
      <c r="AA102" s="1" t="s">
        <v>1291</v>
      </c>
      <c r="AB102" s="1" t="str">
        <f t="shared" si="14"/>
        <v/>
      </c>
      <c r="AC102" s="1" t="s">
        <v>1291</v>
      </c>
    </row>
    <row r="103" spans="1:29" x14ac:dyDescent="0.3">
      <c r="A103" s="1" t="s">
        <v>173</v>
      </c>
      <c r="B103" s="1" t="s">
        <v>194</v>
      </c>
      <c r="C103" s="1" t="s">
        <v>195</v>
      </c>
      <c r="D103" s="1">
        <v>3</v>
      </c>
      <c r="E103" s="1" t="s">
        <v>372</v>
      </c>
      <c r="G103" s="1" t="s">
        <v>501</v>
      </c>
      <c r="I103" s="1" t="str">
        <f t="shared" si="8"/>
        <v xml:space="preserve">    ('COP', '4538', 'Data Structures and Algorithms for Information Technology', 3, 'Formalizes the concepts of algorithm and time complexity. Data structures such as heaps, lists, queues, stacks, and various forms of trees are covered. Students design and analyze algorithms. Numerous classic algorithms are covered.', 4000),</v>
      </c>
      <c r="K103" s="1" t="str">
        <f t="shared" si="9"/>
        <v xml:space="preserve">    @COURSE_COP_4538  INT,</v>
      </c>
      <c r="M103" s="1" t="str">
        <f t="shared" si="10"/>
        <v>SELECT @COURSE_COP_4538  = CourseID FROM Bellini.Course WHERE CoursePrefix = 'COP' AND CourseNumber = '4538';</v>
      </c>
      <c r="O103" s="1" t="s">
        <v>957</v>
      </c>
      <c r="Q103" s="1" t="s">
        <v>372</v>
      </c>
      <c r="U103" s="1" t="str">
        <f t="shared" si="11"/>
        <v xml:space="preserve">    (@COURSE_COP_4538, @COURSE_COP_3515, 'C');</v>
      </c>
      <c r="V103" s="1" t="str">
        <f t="shared" si="12"/>
        <v/>
      </c>
      <c r="W103" s="1" t="str">
        <f t="shared" si="13"/>
        <v/>
      </c>
      <c r="Y103" s="1" t="s">
        <v>1777</v>
      </c>
      <c r="AA103" s="1" t="s">
        <v>1291</v>
      </c>
      <c r="AB103" s="1" t="str">
        <f t="shared" si="14"/>
        <v/>
      </c>
      <c r="AC103" s="1" t="s">
        <v>1291</v>
      </c>
    </row>
    <row r="104" spans="1:29" x14ac:dyDescent="0.3">
      <c r="A104" s="1" t="s">
        <v>173</v>
      </c>
      <c r="B104" s="1" t="s">
        <v>196</v>
      </c>
      <c r="C104" s="1" t="s">
        <v>197</v>
      </c>
      <c r="D104" s="1">
        <v>3</v>
      </c>
      <c r="E104" s="1" t="s">
        <v>372</v>
      </c>
      <c r="G104" s="1" t="s">
        <v>502</v>
      </c>
      <c r="I104" s="1" t="str">
        <f t="shared" si="8"/>
        <v xml:space="preserve">    ('COP', '4564', 'Application Maintenance &amp; Debugging for IT', 3, 'Addresses the software-development cycle and code maintenance, as well as software correctness. Various code testing strategies and debugging methods are presented along with tools for software maintenance and debugging.', 4000),</v>
      </c>
      <c r="K104" s="1" t="str">
        <f t="shared" si="9"/>
        <v xml:space="preserve">    @COURSE_COP_4564  INT,</v>
      </c>
      <c r="M104" s="1" t="str">
        <f t="shared" si="10"/>
        <v>SELECT @COURSE_COP_4564  = CourseID FROM Bellini.Course WHERE CoursePrefix = 'COP' AND CourseNumber = '4564';</v>
      </c>
      <c r="O104" s="1" t="s">
        <v>958</v>
      </c>
      <c r="Q104" s="1" t="s">
        <v>372</v>
      </c>
      <c r="U104" s="1" t="str">
        <f t="shared" si="11"/>
        <v xml:space="preserve">    (@COURSE_COP_4564, @COURSE_COP_3515, 'C');</v>
      </c>
      <c r="V104" s="1" t="str">
        <f t="shared" si="12"/>
        <v/>
      </c>
      <c r="W104" s="1" t="str">
        <f t="shared" si="13"/>
        <v/>
      </c>
      <c r="Y104" s="1" t="s">
        <v>1778</v>
      </c>
      <c r="AA104" s="1" t="s">
        <v>1291</v>
      </c>
      <c r="AB104" s="1" t="str">
        <f t="shared" si="14"/>
        <v/>
      </c>
      <c r="AC104" s="1" t="s">
        <v>1291</v>
      </c>
    </row>
    <row r="105" spans="1:29" x14ac:dyDescent="0.3">
      <c r="A105" s="1" t="s">
        <v>173</v>
      </c>
      <c r="B105" s="1" t="s">
        <v>198</v>
      </c>
      <c r="C105" s="1" t="s">
        <v>199</v>
      </c>
      <c r="D105" s="1">
        <v>3</v>
      </c>
      <c r="E105" s="1" t="s">
        <v>366</v>
      </c>
      <c r="G105" s="1" t="s">
        <v>503</v>
      </c>
      <c r="I105" s="1" t="str">
        <f t="shared" si="8"/>
        <v xml:space="preserve">    ('COP', '4600', 'Operating Systems', 3, 'Introduction to systems programming. Design of operating systems. Concurrent processing, synchronization, and storage management policies.', 4000),</v>
      </c>
      <c r="K105" s="1" t="str">
        <f t="shared" si="9"/>
        <v xml:space="preserve">    @COURSE_COP_4600  INT,</v>
      </c>
      <c r="M105" s="1" t="str">
        <f t="shared" si="10"/>
        <v>SELECT @COURSE_COP_4600  = CourseID FROM Bellini.Course WHERE CoursePrefix = 'COP' AND CourseNumber = '4600';</v>
      </c>
      <c r="O105" s="1" t="s">
        <v>959</v>
      </c>
      <c r="Q105" s="1" t="s">
        <v>366</v>
      </c>
      <c r="U105" s="1" t="str">
        <f t="shared" si="11"/>
        <v xml:space="preserve">    (@COURSE_COP_4600, @COURSE_COP_4530, 'C');</v>
      </c>
      <c r="V105" s="1" t="str">
        <f t="shared" si="12"/>
        <v/>
      </c>
      <c r="W105" s="1" t="str">
        <f t="shared" si="13"/>
        <v/>
      </c>
      <c r="Y105" s="1" t="s">
        <v>1779</v>
      </c>
      <c r="AA105" s="1" t="s">
        <v>1291</v>
      </c>
      <c r="AB105" s="1" t="str">
        <f t="shared" si="14"/>
        <v/>
      </c>
      <c r="AC105" s="1" t="s">
        <v>1291</v>
      </c>
    </row>
    <row r="106" spans="1:29" x14ac:dyDescent="0.3">
      <c r="A106" s="1" t="s">
        <v>173</v>
      </c>
      <c r="B106" s="1" t="s">
        <v>200</v>
      </c>
      <c r="C106" s="1" t="s">
        <v>201</v>
      </c>
      <c r="D106" s="1">
        <v>3</v>
      </c>
      <c r="E106" s="1" t="s">
        <v>366</v>
      </c>
      <c r="G106" s="1" t="s">
        <v>504</v>
      </c>
      <c r="I106" s="1" t="str">
        <f t="shared" si="8"/>
        <v xml:space="preserve">    ('COP', '4620', 'Compilers', 3, 'Introduction to techniques for compiling software; lexical, syntactic, and semantic analyses; abstract syntax trees; symbol tables; code generation and optimization.', 4000),</v>
      </c>
      <c r="K106" s="1" t="str">
        <f t="shared" si="9"/>
        <v xml:space="preserve">    @COURSE_COP_4620  INT,</v>
      </c>
      <c r="M106" s="1" t="str">
        <f t="shared" si="10"/>
        <v>SELECT @COURSE_COP_4620  = CourseID FROM Bellini.Course WHERE CoursePrefix = 'COP' AND CourseNumber = '4620';</v>
      </c>
      <c r="O106" s="1" t="s">
        <v>960</v>
      </c>
      <c r="Q106" s="1" t="s">
        <v>366</v>
      </c>
      <c r="U106" s="1" t="str">
        <f t="shared" si="11"/>
        <v xml:space="preserve">    (@COURSE_COP_4620, @COURSE_COP_4530, 'C');</v>
      </c>
      <c r="V106" s="1" t="str">
        <f t="shared" si="12"/>
        <v/>
      </c>
      <c r="W106" s="1" t="str">
        <f t="shared" si="13"/>
        <v/>
      </c>
      <c r="Y106" s="1" t="s">
        <v>1780</v>
      </c>
      <c r="AA106" s="1" t="s">
        <v>1291</v>
      </c>
      <c r="AB106" s="1" t="str">
        <f t="shared" si="14"/>
        <v/>
      </c>
      <c r="AC106" s="1" t="s">
        <v>1291</v>
      </c>
    </row>
    <row r="107" spans="1:29" x14ac:dyDescent="0.3">
      <c r="A107" s="1" t="s">
        <v>173</v>
      </c>
      <c r="B107" s="1" t="s">
        <v>202</v>
      </c>
      <c r="C107" s="1" t="s">
        <v>203</v>
      </c>
      <c r="D107" s="1">
        <v>3</v>
      </c>
      <c r="E107" s="1" t="s">
        <v>366</v>
      </c>
      <c r="G107" s="1" t="s">
        <v>505</v>
      </c>
      <c r="I107" s="1" t="str">
        <f t="shared" si="8"/>
        <v xml:space="preserve">    ('COP', '4656', 'Software Development for Mobile Devices', 3, 'This course covers software development for mobile devices, mainly cellular phones. The primary goal of the course is to teach students how to design, develop, and deploy complete market-ready applications for mobile devices.', 4000),</v>
      </c>
      <c r="K107" s="1" t="str">
        <f t="shared" si="9"/>
        <v xml:space="preserve">    @COURSE_COP_4656  INT,</v>
      </c>
      <c r="M107" s="1" t="str">
        <f t="shared" si="10"/>
        <v>SELECT @COURSE_COP_4656  = CourseID FROM Bellini.Course WHERE CoursePrefix = 'COP' AND CourseNumber = '4656';</v>
      </c>
      <c r="O107" s="1" t="s">
        <v>961</v>
      </c>
      <c r="Q107" s="1" t="s">
        <v>366</v>
      </c>
      <c r="U107" s="1" t="str">
        <f t="shared" si="11"/>
        <v xml:space="preserve">    (@COURSE_COP_4656, @COURSE_COP_4530, 'C');</v>
      </c>
      <c r="V107" s="1" t="str">
        <f t="shared" si="12"/>
        <v/>
      </c>
      <c r="W107" s="1" t="str">
        <f t="shared" si="13"/>
        <v/>
      </c>
      <c r="Y107" s="1" t="s">
        <v>1781</v>
      </c>
      <c r="AA107" s="1" t="s">
        <v>1291</v>
      </c>
      <c r="AB107" s="1" t="str">
        <f t="shared" si="14"/>
        <v/>
      </c>
    </row>
    <row r="108" spans="1:29" x14ac:dyDescent="0.3">
      <c r="A108" s="1" t="s">
        <v>173</v>
      </c>
      <c r="B108" s="1" t="s">
        <v>204</v>
      </c>
      <c r="C108" s="1" t="s">
        <v>205</v>
      </c>
      <c r="D108" s="1">
        <v>3</v>
      </c>
      <c r="E108" s="1" t="s">
        <v>498</v>
      </c>
      <c r="G108" s="1" t="s">
        <v>506</v>
      </c>
      <c r="I108" s="1" t="str">
        <f t="shared" si="8"/>
        <v xml:space="preserve">    ('COP', '4703', 'Advanced Database Systems for Information Technology', 3, 'Database management systems are presented, covering relational, CODASYL, network, hierarchical, and object-oriented models. Backups and database server admin are covered. Best practices for information management are covered.', 4000),</v>
      </c>
      <c r="K108" s="1" t="str">
        <f t="shared" si="9"/>
        <v xml:space="preserve">    @COURSE_COP_4703  INT,</v>
      </c>
      <c r="M108" s="1" t="str">
        <f t="shared" si="10"/>
        <v>SELECT @COURSE_COP_4703  = CourseID FROM Bellini.Course WHERE CoursePrefix = 'COP' AND CourseNumber = '4703';</v>
      </c>
      <c r="O108" s="1" t="s">
        <v>962</v>
      </c>
      <c r="Q108" s="1" t="s">
        <v>498</v>
      </c>
      <c r="U108" s="1" t="str">
        <f t="shared" si="11"/>
        <v xml:space="preserve">    (@COURSE_COP_4703, @COURSE_COP_4538, 'C');</v>
      </c>
      <c r="V108" s="1" t="str">
        <f t="shared" si="12"/>
        <v/>
      </c>
      <c r="W108" s="1" t="str">
        <f t="shared" si="13"/>
        <v/>
      </c>
      <c r="Y108" s="1" t="s">
        <v>1782</v>
      </c>
      <c r="AA108" s="1" t="s">
        <v>1291</v>
      </c>
      <c r="AB108" s="1" t="str">
        <f t="shared" si="14"/>
        <v/>
      </c>
    </row>
    <row r="109" spans="1:29" x14ac:dyDescent="0.3">
      <c r="A109" s="1" t="s">
        <v>173</v>
      </c>
      <c r="B109" s="1" t="s">
        <v>206</v>
      </c>
      <c r="C109" s="1" t="s">
        <v>207</v>
      </c>
      <c r="D109" s="1">
        <v>3</v>
      </c>
      <c r="E109" s="1" t="s">
        <v>369</v>
      </c>
      <c r="F109" s="1" t="s">
        <v>366</v>
      </c>
      <c r="G109" s="1" t="s">
        <v>507</v>
      </c>
      <c r="I109" s="1" t="str">
        <f t="shared" si="8"/>
        <v xml:space="preserve">    ('COP', '4710', 'Database Design', 3, 'This course covers the fundamentals and applications of database management systems, including data models, relational database design, query languages, and web-based database applications.', 4000),</v>
      </c>
      <c r="K109" s="1" t="str">
        <f t="shared" si="9"/>
        <v xml:space="preserve">    @COURSE_COP_4710  INT,</v>
      </c>
      <c r="M109" s="1" t="str">
        <f t="shared" si="10"/>
        <v>SELECT @COURSE_COP_4710  = CourseID FROM Bellini.Course WHERE CoursePrefix = 'COP' AND CourseNumber = '4710';</v>
      </c>
      <c r="O109" s="1" t="s">
        <v>963</v>
      </c>
      <c r="Q109" s="1" t="s">
        <v>369</v>
      </c>
      <c r="U109" s="1" t="str">
        <f t="shared" si="11"/>
        <v xml:space="preserve">    (@COURSE_COP_4710, @COURSE_COP_3331, 'C');</v>
      </c>
      <c r="V109" s="1" t="str">
        <f t="shared" si="12"/>
        <v/>
      </c>
      <c r="W109" s="1" t="str">
        <f t="shared" si="13"/>
        <v/>
      </c>
      <c r="Y109" s="1" t="s">
        <v>1783</v>
      </c>
      <c r="AA109" s="1" t="s">
        <v>366</v>
      </c>
      <c r="AB109" s="1" t="str">
        <f t="shared" si="14"/>
        <v xml:space="preserve">    (@COURSE_COP_4710, @COURSE_COP_4530),</v>
      </c>
    </row>
    <row r="110" spans="1:29" x14ac:dyDescent="0.3">
      <c r="A110" s="1" t="s">
        <v>173</v>
      </c>
      <c r="B110" s="1" t="s">
        <v>208</v>
      </c>
      <c r="C110" s="1" t="s">
        <v>209</v>
      </c>
      <c r="D110" s="1">
        <v>3</v>
      </c>
      <c r="E110" s="1" t="s">
        <v>498</v>
      </c>
      <c r="G110" s="1" t="s">
        <v>508</v>
      </c>
      <c r="I110" s="1" t="str">
        <f t="shared" si="8"/>
        <v xml:space="preserve">    ('COP', '4883', 'Java Programming for Information Technology', 3, 'This course covers object-oriented programming in Java and Java foundation classes. Topics include classes, inheritance, interfaces, graphical user interfaces (GUIs), event-driven programming, exception handling, and networking.', 4000),</v>
      </c>
      <c r="K110" s="1" t="str">
        <f t="shared" si="9"/>
        <v xml:space="preserve">    @COURSE_COP_4883  INT,</v>
      </c>
      <c r="M110" s="1" t="str">
        <f t="shared" si="10"/>
        <v>SELECT @COURSE_COP_4883  = CourseID FROM Bellini.Course WHERE CoursePrefix = 'COP' AND CourseNumber = '4883';</v>
      </c>
      <c r="O110" s="1" t="s">
        <v>964</v>
      </c>
      <c r="Q110" s="1" t="s">
        <v>498</v>
      </c>
      <c r="U110" s="1" t="str">
        <f t="shared" si="11"/>
        <v xml:space="preserve">    (@COURSE_COP_4883, @COURSE_COP_4538, 'C');</v>
      </c>
      <c r="V110" s="1" t="str">
        <f t="shared" si="12"/>
        <v/>
      </c>
      <c r="W110" s="1" t="str">
        <f t="shared" si="13"/>
        <v/>
      </c>
      <c r="Y110" s="1" t="s">
        <v>1784</v>
      </c>
      <c r="AA110" s="1" t="s">
        <v>1291</v>
      </c>
      <c r="AB110" s="1" t="str">
        <f t="shared" si="14"/>
        <v/>
      </c>
    </row>
    <row r="111" spans="1:29" x14ac:dyDescent="0.3">
      <c r="A111" s="1" t="s">
        <v>173</v>
      </c>
      <c r="B111" s="1" t="s">
        <v>137</v>
      </c>
      <c r="C111" s="1" t="s">
        <v>210</v>
      </c>
      <c r="D111" s="1" t="s">
        <v>139</v>
      </c>
      <c r="G111" s="1" t="s">
        <v>455</v>
      </c>
      <c r="I111" s="1" t="str">
        <f t="shared" si="8"/>
        <v xml:space="preserve">    ('COP', '4900', 'Independent Study in Information Technology', 1-5, 'Specialized independent study determined by the needs and interests of the student.', 4000),</v>
      </c>
      <c r="K111" s="1" t="str">
        <f t="shared" si="9"/>
        <v xml:space="preserve">    @COURSE_COP_4900  INT,</v>
      </c>
      <c r="M111" s="1" t="str">
        <f t="shared" si="10"/>
        <v>SELECT @COURSE_COP_4900  = CourseID FROM Bellini.Course WHERE CoursePrefix = 'COP' AND CourseNumber = '4900';</v>
      </c>
      <c r="O111" s="1" t="s">
        <v>965</v>
      </c>
      <c r="U111" s="1" t="str">
        <f t="shared" si="11"/>
        <v/>
      </c>
      <c r="V111" s="1" t="str">
        <f t="shared" si="12"/>
        <v/>
      </c>
      <c r="W111" s="1" t="str">
        <f t="shared" si="13"/>
        <v/>
      </c>
      <c r="Y111" s="1" t="s">
        <v>1785</v>
      </c>
      <c r="AA111" s="1" t="s">
        <v>1291</v>
      </c>
      <c r="AB111" s="1" t="str">
        <f t="shared" si="14"/>
        <v/>
      </c>
    </row>
    <row r="112" spans="1:29" x14ac:dyDescent="0.3">
      <c r="A112" s="1" t="s">
        <v>173</v>
      </c>
      <c r="B112" s="1" t="s">
        <v>211</v>
      </c>
      <c r="C112" s="1" t="s">
        <v>212</v>
      </c>
      <c r="D112" s="1">
        <v>3</v>
      </c>
      <c r="G112" s="1" t="s">
        <v>509</v>
      </c>
      <c r="I112" s="1" t="str">
        <f t="shared" si="8"/>
        <v xml:space="preserve">    ('COP', '4931', 'Special Topics for Information Technology', 3, 'Topics to be chosen by students and instructor permitting newly developing sub-disciplinary special interests to be explored.', 4000),</v>
      </c>
      <c r="K112" s="1" t="str">
        <f t="shared" si="9"/>
        <v xml:space="preserve">    @COURSE_COP_4931  INT,</v>
      </c>
      <c r="M112" s="1" t="str">
        <f t="shared" si="10"/>
        <v>SELECT @COURSE_COP_4931  = CourseID FROM Bellini.Course WHERE CoursePrefix = 'COP' AND CourseNumber = '4931';</v>
      </c>
      <c r="O112" s="1" t="s">
        <v>966</v>
      </c>
      <c r="U112" s="1" t="str">
        <f t="shared" si="11"/>
        <v/>
      </c>
      <c r="V112" s="1" t="str">
        <f t="shared" si="12"/>
        <v/>
      </c>
      <c r="W112" s="1" t="str">
        <f t="shared" si="13"/>
        <v/>
      </c>
      <c r="Y112" s="1" t="s">
        <v>1786</v>
      </c>
      <c r="AA112" s="1" t="s">
        <v>1291</v>
      </c>
      <c r="AB112" s="1" t="str">
        <f t="shared" si="14"/>
        <v/>
      </c>
    </row>
    <row r="113" spans="1:29" x14ac:dyDescent="0.3">
      <c r="A113" s="1" t="s">
        <v>213</v>
      </c>
      <c r="B113" s="1" t="s">
        <v>214</v>
      </c>
      <c r="C113" s="1" t="s">
        <v>215</v>
      </c>
      <c r="D113" s="1">
        <v>3</v>
      </c>
      <c r="E113" s="1" t="s">
        <v>511</v>
      </c>
      <c r="G113" s="1" t="s">
        <v>510</v>
      </c>
      <c r="I113" s="1" t="str">
        <f t="shared" si="8"/>
        <v xml:space="preserve">    ('COT', '3100', 'Introduction to Discrete Structures', 3, 'Introduction to set algebra, propositional calculus and finite algebraic structures as they apply to computer systems.', 3000),</v>
      </c>
      <c r="K113" s="1" t="str">
        <f t="shared" si="9"/>
        <v xml:space="preserve">    @COURSE_COT_3100  INT,</v>
      </c>
      <c r="M113" s="1" t="str">
        <f t="shared" si="10"/>
        <v>SELECT @COURSE_COT_3100  = CourseID FROM Bellini.Course WHERE CoursePrefix = 'COT' AND CourseNumber = '3100';</v>
      </c>
      <c r="O113" s="1" t="s">
        <v>967</v>
      </c>
      <c r="Q113" s="1" t="s">
        <v>511</v>
      </c>
      <c r="U113" s="1" t="str">
        <f t="shared" si="11"/>
        <v xml:space="preserve">    (@COURSE_COT_3100, @COURSE_MAC_2281, 'C');</v>
      </c>
      <c r="V113" s="1" t="str">
        <f t="shared" si="12"/>
        <v/>
      </c>
      <c r="W113" s="1" t="str">
        <f t="shared" si="13"/>
        <v/>
      </c>
      <c r="Y113" s="1" t="s">
        <v>1787</v>
      </c>
      <c r="AA113" s="1" t="s">
        <v>1291</v>
      </c>
      <c r="AB113" s="1" t="str">
        <f t="shared" si="14"/>
        <v/>
      </c>
    </row>
    <row r="114" spans="1:29" x14ac:dyDescent="0.3">
      <c r="A114" s="1" t="s">
        <v>213</v>
      </c>
      <c r="B114" s="1" t="s">
        <v>216</v>
      </c>
      <c r="C114" s="1" t="s">
        <v>217</v>
      </c>
      <c r="D114" s="1">
        <v>3</v>
      </c>
      <c r="E114" s="1" t="s">
        <v>471</v>
      </c>
      <c r="G114" s="1" t="s">
        <v>512</v>
      </c>
      <c r="I114" s="1" t="str">
        <f t="shared" si="8"/>
        <v xml:space="preserve">    ('COT', '4210', 'Automata Theory and Formal Languages', 3, 'Introduction to the theory and application of various types of computing devices and the languages they recognize.', 4000),</v>
      </c>
      <c r="K114" s="1" t="str">
        <f t="shared" si="9"/>
        <v xml:space="preserve">    @COURSE_COT_4210  INT,</v>
      </c>
      <c r="M114" s="1" t="str">
        <f t="shared" si="10"/>
        <v>SELECT @COURSE_COT_4210  = CourseID FROM Bellini.Course WHERE CoursePrefix = 'COT' AND CourseNumber = '4210';</v>
      </c>
      <c r="O114" s="1" t="s">
        <v>968</v>
      </c>
      <c r="Q114" s="1" t="s">
        <v>471</v>
      </c>
      <c r="U114" s="1" t="str">
        <f t="shared" si="11"/>
        <v xml:space="preserve">    (@COURSE_COT_4210, @COURSE_COT_3100, 'C');</v>
      </c>
      <c r="V114" s="1" t="str">
        <f t="shared" si="12"/>
        <v/>
      </c>
      <c r="W114" s="1" t="str">
        <f t="shared" si="13"/>
        <v/>
      </c>
      <c r="Y114" s="1" t="s">
        <v>1788</v>
      </c>
      <c r="AA114" s="1" t="s">
        <v>1291</v>
      </c>
      <c r="AB114" s="1" t="str">
        <f t="shared" si="14"/>
        <v/>
      </c>
    </row>
    <row r="115" spans="1:29" x14ac:dyDescent="0.3">
      <c r="A115" s="1" t="s">
        <v>213</v>
      </c>
      <c r="B115" s="1" t="s">
        <v>218</v>
      </c>
      <c r="C115" s="1" t="s">
        <v>219</v>
      </c>
      <c r="D115" s="1">
        <v>3</v>
      </c>
      <c r="E115" s="1" t="s">
        <v>514</v>
      </c>
      <c r="G115" s="1" t="s">
        <v>513</v>
      </c>
      <c r="I115" s="1" t="str">
        <f t="shared" si="8"/>
        <v xml:space="preserve">    ('COT', '4400', 'Analysis of Algorithms', 3, 'Design principles and analysis techniques applicable to various classes of computer algorithms frequently used in practice.', 4000),</v>
      </c>
      <c r="K115" s="1" t="str">
        <f t="shared" si="9"/>
        <v xml:space="preserve">    @COURSE_COT_4400  INT,</v>
      </c>
      <c r="M115" s="1" t="str">
        <f t="shared" si="10"/>
        <v>SELECT @COURSE_COT_4400  = CourseID FROM Bellini.Course WHERE CoursePrefix = 'COT' AND CourseNumber = '4400';</v>
      </c>
      <c r="O115" s="1" t="s">
        <v>969</v>
      </c>
      <c r="Q115" s="1" t="s">
        <v>471</v>
      </c>
      <c r="R115" s="1" t="s">
        <v>366</v>
      </c>
      <c r="U115" s="1" t="str">
        <f t="shared" si="11"/>
        <v xml:space="preserve">    (@COURSE_COT_4400, @COURSE_COT_3100, 'C');</v>
      </c>
      <c r="V115" s="1" t="str">
        <f t="shared" si="12"/>
        <v xml:space="preserve">    (@COURSE_COT_4400, @COURSE_COP_4530, 'C');</v>
      </c>
      <c r="W115" s="1" t="str">
        <f t="shared" si="13"/>
        <v/>
      </c>
      <c r="Y115" s="1" t="s">
        <v>1789</v>
      </c>
      <c r="AA115" s="1" t="s">
        <v>1291</v>
      </c>
      <c r="AB115" s="1" t="str">
        <f t="shared" si="14"/>
        <v/>
      </c>
    </row>
    <row r="116" spans="1:29" x14ac:dyDescent="0.3">
      <c r="A116" s="1" t="s">
        <v>213</v>
      </c>
      <c r="B116" s="1" t="s">
        <v>220</v>
      </c>
      <c r="C116" s="1" t="s">
        <v>221</v>
      </c>
      <c r="D116" s="1">
        <v>3</v>
      </c>
      <c r="E116" s="1" t="s">
        <v>516</v>
      </c>
      <c r="G116" s="1" t="s">
        <v>515</v>
      </c>
      <c r="I116" s="1" t="str">
        <f t="shared" si="8"/>
        <v xml:space="preserve">    ('COT', '4521', 'Computational Geometry', 3, 'Computational geometry is the study of efficient algorithms to solve geometric problems. Topics covered include Polygonal Triangulations, Polygon Partitioning, Convex Hulls, Voronoi Diagrams, Arrangements, Search and Intersection, and Motion Planning.', 4000),</v>
      </c>
      <c r="K116" s="1" t="str">
        <f t="shared" si="9"/>
        <v xml:space="preserve">    @COURSE_COT_4521  INT,</v>
      </c>
      <c r="M116" s="1" t="str">
        <f t="shared" si="10"/>
        <v>SELECT @COURSE_COT_4521  = CourseID FROM Bellini.Course WHERE CoursePrefix = 'COT' AND CourseNumber = '4521';</v>
      </c>
      <c r="O116" s="1" t="s">
        <v>970</v>
      </c>
      <c r="Q116" s="1" t="s">
        <v>366</v>
      </c>
      <c r="R116" s="1" t="s">
        <v>624</v>
      </c>
      <c r="U116" s="1" t="str">
        <f t="shared" si="11"/>
        <v xml:space="preserve">    (@COURSE_COT_4521, @COURSE_COP_4530, 'C');</v>
      </c>
      <c r="V116" s="1" t="str">
        <f t="shared" si="12"/>
        <v xml:space="preserve">    (@COURSE_COT_4521, @COURSE_COT_4400, 'C');</v>
      </c>
      <c r="W116" s="1" t="str">
        <f t="shared" si="13"/>
        <v/>
      </c>
      <c r="Y116" s="1" t="s">
        <v>1790</v>
      </c>
      <c r="AA116" s="1" t="s">
        <v>1291</v>
      </c>
      <c r="AB116" s="1" t="str">
        <f t="shared" si="14"/>
        <v/>
      </c>
    </row>
    <row r="117" spans="1:29" x14ac:dyDescent="0.3">
      <c r="A117" s="1" t="s">
        <v>213</v>
      </c>
      <c r="B117" s="1" t="s">
        <v>222</v>
      </c>
      <c r="C117" s="1" t="s">
        <v>223</v>
      </c>
      <c r="D117" s="1">
        <v>3</v>
      </c>
      <c r="E117" s="1" t="s">
        <v>518</v>
      </c>
      <c r="G117" s="1" t="s">
        <v>517</v>
      </c>
      <c r="I117" s="1" t="str">
        <f t="shared" si="8"/>
        <v xml:space="preserve">    ('COT', '4601', 'Quantum Computing and Quantum Algorithms', 3, 'Introduction to and survey of quantum computing. Theory of qubits and quantum computation are studied including entanglement, superdense coding, quantum teleportation, and current topics. Students will also program simulated and real quantum computers.', 4000),</v>
      </c>
      <c r="K117" s="1" t="str">
        <f t="shared" si="9"/>
        <v xml:space="preserve">    @COURSE_COT_4601  INT,</v>
      </c>
      <c r="M117" s="1" t="str">
        <f t="shared" si="10"/>
        <v>SELECT @COURSE_COT_4601  = CourseID FROM Bellini.Course WHERE CoursePrefix = 'COT' AND CourseNumber = '4601';</v>
      </c>
      <c r="O117" s="1" t="s">
        <v>971</v>
      </c>
      <c r="Q117" s="1" t="s">
        <v>484</v>
      </c>
      <c r="R117" s="1" t="s">
        <v>366</v>
      </c>
      <c r="S117" s="1" t="s">
        <v>618</v>
      </c>
      <c r="U117" s="1" t="str">
        <f t="shared" si="11"/>
        <v xml:space="preserve">    (@COURSE_COT_4601, @COURSE_CDA_3103, 'C');</v>
      </c>
      <c r="V117" s="1" t="str">
        <f t="shared" si="12"/>
        <v xml:space="preserve">    (@COURSE_COT_4601, @COURSE_COP_4530, 'C');</v>
      </c>
      <c r="W117" s="1" t="str">
        <f t="shared" si="13"/>
        <v xml:space="preserve">    (@COURSE_COT_4601, @COURSE_EGN_4450, 'C');</v>
      </c>
      <c r="Y117" s="1" t="s">
        <v>1791</v>
      </c>
      <c r="AA117" s="1" t="s">
        <v>1291</v>
      </c>
      <c r="AB117" s="1" t="str">
        <f t="shared" si="14"/>
        <v/>
      </c>
    </row>
    <row r="118" spans="1:29" x14ac:dyDescent="0.3">
      <c r="A118" s="1" t="s">
        <v>224</v>
      </c>
      <c r="B118" s="1" t="s">
        <v>225</v>
      </c>
      <c r="C118" s="1" t="s">
        <v>226</v>
      </c>
      <c r="D118" s="1">
        <v>3</v>
      </c>
      <c r="E118" s="1" t="s">
        <v>468</v>
      </c>
      <c r="G118" s="1" t="s">
        <v>519</v>
      </c>
      <c r="I118" s="1" t="str">
        <f t="shared" si="8"/>
        <v xml:space="preserve">    ('CTS', '4337', 'Linux Workstations System Administration for IT', 3, 'Students learn to install, configure, tune, and administer a Linux system. Administration focuses on managing user accounts, file systems, and processes. System commands are presented and students learn to write basic scripts.', 4000),</v>
      </c>
      <c r="K118" s="1" t="str">
        <f t="shared" si="9"/>
        <v xml:space="preserve">    @COURSE_CTS_4337  INT,</v>
      </c>
      <c r="M118" s="1" t="str">
        <f t="shared" si="10"/>
        <v>SELECT @COURSE_CTS_4337  = CourseID FROM Bellini.Course WHERE CoursePrefix = 'CTS' AND CourseNumber = '4337';</v>
      </c>
      <c r="O118" s="1" t="s">
        <v>972</v>
      </c>
      <c r="Q118" s="1" t="s">
        <v>468</v>
      </c>
      <c r="U118" s="1" t="str">
        <f t="shared" si="11"/>
        <v xml:space="preserve">    (@COURSE_CTS_4337, @COURSE_COP_3353, 'C');</v>
      </c>
      <c r="V118" s="1" t="str">
        <f t="shared" si="12"/>
        <v/>
      </c>
      <c r="W118" s="1" t="str">
        <f t="shared" si="13"/>
        <v/>
      </c>
      <c r="Y118" s="1" t="s">
        <v>1792</v>
      </c>
      <c r="AA118" s="1" t="s">
        <v>1291</v>
      </c>
      <c r="AB118" s="1" t="str">
        <f t="shared" si="14"/>
        <v/>
      </c>
    </row>
    <row r="119" spans="1:29" x14ac:dyDescent="0.3">
      <c r="A119" s="1" t="s">
        <v>227</v>
      </c>
      <c r="B119" s="1" t="s">
        <v>228</v>
      </c>
      <c r="C119" s="1" t="s">
        <v>229</v>
      </c>
      <c r="D119" s="1">
        <v>3</v>
      </c>
      <c r="G119" s="1" t="s">
        <v>520</v>
      </c>
      <c r="I119" s="1" t="str">
        <f t="shared" si="8"/>
        <v xml:space="preserve">    ('ECO', '2013', 'Economic Principles (Macroeconomics)', 3, 'ECO 2013 introduces students to basic economic terminology, definitions and measurements of macroeconomic data, simple macroeconomic models, fiscal and monetary policy, and international macroeconomic linkages.', 2000),</v>
      </c>
      <c r="K119" s="1" t="str">
        <f t="shared" si="9"/>
        <v xml:space="preserve">    @COURSE_ECO_2013  INT,</v>
      </c>
      <c r="M119" s="1" t="str">
        <f t="shared" si="10"/>
        <v>SELECT @COURSE_ECO_2013  = CourseID FROM Bellini.Course WHERE CoursePrefix = 'ECO' AND CourseNumber = '2013';</v>
      </c>
      <c r="O119" s="1" t="s">
        <v>973</v>
      </c>
      <c r="U119" s="1" t="str">
        <f t="shared" si="11"/>
        <v/>
      </c>
      <c r="V119" s="1" t="str">
        <f t="shared" si="12"/>
        <v/>
      </c>
      <c r="W119" s="1" t="str">
        <f t="shared" si="13"/>
        <v/>
      </c>
      <c r="Y119" s="1" t="s">
        <v>1793</v>
      </c>
      <c r="AA119" s="1" t="s">
        <v>1291</v>
      </c>
      <c r="AB119" s="1" t="str">
        <f t="shared" si="14"/>
        <v/>
      </c>
    </row>
    <row r="120" spans="1:29" x14ac:dyDescent="0.3">
      <c r="A120" s="1" t="s">
        <v>230</v>
      </c>
      <c r="B120" s="1" t="s">
        <v>231</v>
      </c>
      <c r="C120" s="1" t="s">
        <v>232</v>
      </c>
      <c r="D120" s="1">
        <v>3</v>
      </c>
      <c r="G120" s="1" t="s">
        <v>521</v>
      </c>
      <c r="I120" s="1" t="str">
        <f t="shared" si="8"/>
        <v xml:space="preserve">    ('EDG', '3801', 'Cybersecurity and the Everyday Citizen', 3, 'This course explores the human side of cybersecurity in a globally connected world. We will focus on personal, social and policy issues as well as address strategies to secure our digital footprints and promote safe interactions.', 3000),</v>
      </c>
      <c r="K120" s="1" t="str">
        <f t="shared" si="9"/>
        <v xml:space="preserve">    @COURSE_EDG_3801  INT,</v>
      </c>
      <c r="M120" s="1" t="str">
        <f t="shared" si="10"/>
        <v>SELECT @COURSE_EDG_3801  = CourseID FROM Bellini.Course WHERE CoursePrefix = 'EDG' AND CourseNumber = '3801';</v>
      </c>
      <c r="O120" s="1" t="s">
        <v>974</v>
      </c>
      <c r="U120" s="1" t="str">
        <f t="shared" si="11"/>
        <v/>
      </c>
      <c r="V120" s="1" t="str">
        <f t="shared" si="12"/>
        <v/>
      </c>
      <c r="W120" s="1" t="str">
        <f t="shared" si="13"/>
        <v/>
      </c>
      <c r="Y120" s="1" t="s">
        <v>1794</v>
      </c>
      <c r="AA120" s="1" t="s">
        <v>1291</v>
      </c>
      <c r="AB120" s="1" t="str">
        <f t="shared" si="14"/>
        <v/>
      </c>
    </row>
    <row r="121" spans="1:29" x14ac:dyDescent="0.3">
      <c r="A121" s="1" t="s">
        <v>233</v>
      </c>
      <c r="B121" s="1" t="s">
        <v>234</v>
      </c>
      <c r="C121" s="1" t="s">
        <v>235</v>
      </c>
      <c r="D121" s="1">
        <v>3</v>
      </c>
      <c r="E121" s="1" t="s">
        <v>523</v>
      </c>
      <c r="F121" s="1" t="s">
        <v>524</v>
      </c>
      <c r="G121" s="1" t="s">
        <v>522</v>
      </c>
      <c r="I121" s="1" t="str">
        <f t="shared" si="8"/>
        <v xml:space="preserve">    ('EEE', '3394', 'Electrical Engineering Science I - Electronic Materials', 3, 'This course provides electrical and computer engineering students with a strong background in material science and quantum physics as they relate to electrical/electronic material and device properties and applications.', 3000),</v>
      </c>
      <c r="K121" s="1" t="str">
        <f t="shared" si="9"/>
        <v xml:space="preserve">    @COURSE_EEE_3394  INT,</v>
      </c>
      <c r="M121" s="1" t="str">
        <f t="shared" si="10"/>
        <v>SELECT @COURSE_EEE_3394  = CourseID FROM Bellini.Course WHERE CoursePrefix = 'EEE' AND CourseNumber = '3394';</v>
      </c>
      <c r="O121" s="1" t="s">
        <v>975</v>
      </c>
      <c r="Q121" s="1" t="s">
        <v>407</v>
      </c>
      <c r="R121" s="1" t="s">
        <v>583</v>
      </c>
      <c r="U121" s="1" t="str">
        <f t="shared" si="11"/>
        <v xml:space="preserve">    (@COURSE_EEE_3394, @COURSE_CHS_2440, 'C');</v>
      </c>
      <c r="V121" s="1" t="str">
        <f t="shared" si="12"/>
        <v xml:space="preserve">    (@COURSE_EEE_3394, @COURSE_PHY_2048, 'C');</v>
      </c>
      <c r="W121" s="1" t="str">
        <f t="shared" si="13"/>
        <v/>
      </c>
      <c r="Y121" s="1" t="s">
        <v>1795</v>
      </c>
      <c r="AA121" s="1" t="s">
        <v>606</v>
      </c>
      <c r="AB121" s="1" t="str">
        <f t="shared" si="14"/>
        <v xml:space="preserve">    (@COURSE_EEE_3394, @COURSE_MAC_2283),</v>
      </c>
    </row>
    <row r="122" spans="1:29" x14ac:dyDescent="0.3">
      <c r="A122" s="1" t="s">
        <v>236</v>
      </c>
      <c r="B122" s="1" t="s">
        <v>237</v>
      </c>
      <c r="C122" s="1" t="s">
        <v>238</v>
      </c>
      <c r="D122" s="1" t="s">
        <v>239</v>
      </c>
      <c r="G122" s="1" t="s">
        <v>525</v>
      </c>
      <c r="I122" s="1" t="str">
        <f t="shared" si="8"/>
        <v xml:space="preserve">    ('EGN', '3000', 'Foundations of Engineering', 0-3, 'Introduction to the USF College of Engineering disciplines and the engineering profession. Course will provide you with knowledge of resources to help you succeed. Course topics include academic policies and procedures, study skills, and career planning.', 3000),</v>
      </c>
      <c r="K122" s="1" t="str">
        <f t="shared" si="9"/>
        <v xml:space="preserve">    @COURSE_EGN_3000  INT,</v>
      </c>
      <c r="M122" s="1" t="str">
        <f t="shared" si="10"/>
        <v>SELECT @COURSE_EGN_3000  = CourseID FROM Bellini.Course WHERE CoursePrefix = 'EGN' AND CourseNumber = '3000';</v>
      </c>
      <c r="O122" s="1" t="s">
        <v>976</v>
      </c>
      <c r="U122" s="1" t="str">
        <f t="shared" si="11"/>
        <v/>
      </c>
      <c r="V122" s="1" t="str">
        <f t="shared" si="12"/>
        <v/>
      </c>
      <c r="W122" s="1" t="str">
        <f t="shared" si="13"/>
        <v/>
      </c>
      <c r="Y122" s="1" t="s">
        <v>1796</v>
      </c>
      <c r="AA122" s="1" t="s">
        <v>1291</v>
      </c>
      <c r="AB122" s="1" t="str">
        <f t="shared" si="14"/>
        <v/>
      </c>
      <c r="AC122" s="1" t="s">
        <v>1291</v>
      </c>
    </row>
    <row r="123" spans="1:29" x14ac:dyDescent="0.3">
      <c r="A123" s="1" t="s">
        <v>236</v>
      </c>
      <c r="B123" s="1" t="s">
        <v>240</v>
      </c>
      <c r="C123" s="1" t="s">
        <v>241</v>
      </c>
      <c r="D123" s="1">
        <v>3</v>
      </c>
      <c r="G123" s="1" t="s">
        <v>526</v>
      </c>
      <c r="I123" s="1" t="str">
        <f t="shared" si="8"/>
        <v xml:space="preserve">    ('EGN', '3000L', 'Foundations of Engineering Lab ', 3, 'Introduction to Engineering and its disciplines incorporating examples of tools and techniques used in design and presentation. Laboratory exercises will include computer tools, engineering design, team projects, and oral and written communication skills.', 3000),</v>
      </c>
      <c r="K123" s="1" t="str">
        <f t="shared" si="9"/>
        <v xml:space="preserve">    @COURSE_EGN_3000L INT,</v>
      </c>
      <c r="M123" s="1" t="str">
        <f t="shared" si="10"/>
        <v>SELECT @COURSE_EGN_3000L = CourseID FROM Bellini.Course WHERE CoursePrefix = 'EGN' AND CourseNumber = '3000L';</v>
      </c>
      <c r="O123" s="1" t="s">
        <v>863</v>
      </c>
      <c r="U123" s="1" t="str">
        <f t="shared" si="11"/>
        <v/>
      </c>
      <c r="V123" s="1" t="str">
        <f t="shared" si="12"/>
        <v/>
      </c>
      <c r="W123" s="1" t="str">
        <f t="shared" si="13"/>
        <v/>
      </c>
      <c r="Y123" s="1" t="s">
        <v>1797</v>
      </c>
      <c r="AA123" s="1" t="s">
        <v>1291</v>
      </c>
      <c r="AB123" s="1" t="str">
        <f t="shared" si="14"/>
        <v/>
      </c>
      <c r="AC123" s="1" t="s">
        <v>1291</v>
      </c>
    </row>
    <row r="124" spans="1:29" x14ac:dyDescent="0.3">
      <c r="A124" s="1" t="s">
        <v>236</v>
      </c>
      <c r="B124" s="1" t="s">
        <v>242</v>
      </c>
      <c r="C124" s="1" t="s">
        <v>243</v>
      </c>
      <c r="D124" s="1">
        <v>3</v>
      </c>
      <c r="F124" s="1" t="s">
        <v>528</v>
      </c>
      <c r="G124" s="1" t="s">
        <v>527</v>
      </c>
      <c r="I124" s="1" t="str">
        <f t="shared" si="8"/>
        <v xml:space="preserve">    ('EGN', '3373', 'Electrical Systems I', 3, 'A first course in electrical systems: AC/DC circuit analysis, electronics (diodes, transistors, operational amplifiers), digital circuits (logic gates, K-maps), control systems concepts (final value theorem), electrical safety, and AC power.', 3000),</v>
      </c>
      <c r="K124" s="1" t="str">
        <f t="shared" si="9"/>
        <v xml:space="preserve">    @COURSE_EGN_3373  INT,</v>
      </c>
      <c r="M124" s="1" t="str">
        <f t="shared" si="10"/>
        <v>SELECT @COURSE_EGN_3373  = CourseID FROM Bellini.Course WHERE CoursePrefix = 'EGN' AND CourseNumber = '3373';</v>
      </c>
      <c r="O124" s="1" t="s">
        <v>977</v>
      </c>
      <c r="U124" s="1" t="str">
        <f t="shared" si="11"/>
        <v/>
      </c>
      <c r="V124" s="1" t="str">
        <f t="shared" si="12"/>
        <v/>
      </c>
      <c r="W124" s="1" t="str">
        <f t="shared" si="13"/>
        <v/>
      </c>
      <c r="Y124" s="1" t="s">
        <v>1798</v>
      </c>
      <c r="AA124" s="1" t="s">
        <v>609</v>
      </c>
      <c r="AB124" s="1" t="str">
        <f t="shared" si="14"/>
        <v xml:space="preserve">    (@COURSE_EGN_3373, @COURSE_EGN_3433),</v>
      </c>
    </row>
    <row r="125" spans="1:29" x14ac:dyDescent="0.3">
      <c r="A125" s="1" t="s">
        <v>236</v>
      </c>
      <c r="B125" s="1" t="s">
        <v>111</v>
      </c>
      <c r="C125" s="1" t="s">
        <v>244</v>
      </c>
      <c r="D125" s="1">
        <v>3</v>
      </c>
      <c r="E125" s="1" t="s">
        <v>530</v>
      </c>
      <c r="G125" s="1" t="s">
        <v>529</v>
      </c>
      <c r="I125" s="1" t="str">
        <f t="shared" si="8"/>
        <v xml:space="preserve">    ('EGN', '3433', 'Modeling and Analysis of Engineering Systems', 3, 'Dynamic analysis of electrical, mechanical, hydraulic and thermal systems; Laplace transforms; numerical methods; use of computers in dynamic systems; analytical solution to first and second order ODEs. Restricted to majors.', 3000),</v>
      </c>
      <c r="K125" s="1" t="str">
        <f t="shared" si="9"/>
        <v xml:space="preserve">    @COURSE_EGN_3433  INT,</v>
      </c>
      <c r="M125" s="1" t="str">
        <f t="shared" si="10"/>
        <v>SELECT @COURSE_EGN_3433  = CourseID FROM Bellini.Course WHERE CoursePrefix = 'EGN' AND CourseNumber = '3433';</v>
      </c>
      <c r="O125" s="1" t="s">
        <v>978</v>
      </c>
      <c r="Q125" s="1" t="s">
        <v>606</v>
      </c>
      <c r="R125" s="1" t="s">
        <v>584</v>
      </c>
      <c r="U125" s="1" t="str">
        <f t="shared" si="11"/>
        <v xml:space="preserve">    (@COURSE_EGN_3433, @COURSE_MAC_2283, 'C');</v>
      </c>
      <c r="V125" s="1" t="str">
        <f t="shared" si="12"/>
        <v xml:space="preserve">    (@COURSE_EGN_3433, @COURSE_PHY_2049, 'C');</v>
      </c>
      <c r="W125" s="1" t="str">
        <f t="shared" si="13"/>
        <v/>
      </c>
      <c r="Y125" s="1" t="s">
        <v>1799</v>
      </c>
      <c r="AA125" s="1" t="s">
        <v>1291</v>
      </c>
      <c r="AB125" s="1" t="str">
        <f t="shared" si="14"/>
        <v/>
      </c>
      <c r="AC125" s="1" t="s">
        <v>1291</v>
      </c>
    </row>
    <row r="126" spans="1:29" x14ac:dyDescent="0.3">
      <c r="A126" s="1" t="s">
        <v>236</v>
      </c>
      <c r="B126" s="1" t="s">
        <v>245</v>
      </c>
      <c r="C126" s="1" t="s">
        <v>246</v>
      </c>
      <c r="D126" s="1">
        <v>3</v>
      </c>
      <c r="E126" s="1" t="s">
        <v>532</v>
      </c>
      <c r="G126" s="1" t="s">
        <v>531</v>
      </c>
      <c r="I126" s="1" t="str">
        <f t="shared" si="8"/>
        <v xml:space="preserve">    ('EGN', '3443', 'Probability and Statistics for Engineers', 3, 'An introduction to concepts of probability and statistical analysis with special emphasis on critical interpretation of data, comparing and contrasting claims, critical thinking, problem solving, and writing.', 3000),</v>
      </c>
      <c r="K126" s="1" t="str">
        <f t="shared" si="9"/>
        <v xml:space="preserve">    @COURSE_EGN_3443  INT,</v>
      </c>
      <c r="M126" s="1" t="str">
        <f t="shared" si="10"/>
        <v>SELECT @COURSE_EGN_3443  = CourseID FROM Bellini.Course WHERE CoursePrefix = 'EGN' AND CourseNumber = '3443';</v>
      </c>
      <c r="O126" s="1" t="s">
        <v>979</v>
      </c>
      <c r="Q126" s="1" t="s">
        <v>532</v>
      </c>
      <c r="U126" s="1" t="str">
        <f t="shared" si="11"/>
        <v xml:space="preserve">    (@COURSE_EGN_3443, @COURSE_MAC_2282, 'C');</v>
      </c>
      <c r="V126" s="1" t="str">
        <f t="shared" si="12"/>
        <v/>
      </c>
      <c r="W126" s="1" t="str">
        <f t="shared" si="13"/>
        <v/>
      </c>
      <c r="Y126" s="1" t="s">
        <v>1800</v>
      </c>
      <c r="AA126" s="1" t="s">
        <v>1291</v>
      </c>
      <c r="AB126" s="1" t="str">
        <f t="shared" si="14"/>
        <v/>
      </c>
      <c r="AC126" s="1" t="s">
        <v>1291</v>
      </c>
    </row>
    <row r="127" spans="1:29" x14ac:dyDescent="0.3">
      <c r="A127" s="1" t="s">
        <v>236</v>
      </c>
      <c r="B127" s="1" t="s">
        <v>247</v>
      </c>
      <c r="C127" s="1" t="s">
        <v>248</v>
      </c>
      <c r="D127" s="1">
        <v>3</v>
      </c>
      <c r="G127" s="1" t="s">
        <v>533</v>
      </c>
      <c r="I127" s="1" t="str">
        <f t="shared" si="8"/>
        <v xml:space="preserve">    ('EGN', '3615', 'Engineering Economics with Social and Global Implications', 3, 'Presents basic economic models used to evaluate engineering project investments with an understanding of the implications of human and cultural diversity on financial decisions through lectures, problem solving, and critical writing.', 3000),</v>
      </c>
      <c r="K127" s="1" t="str">
        <f t="shared" si="9"/>
        <v xml:space="preserve">    @COURSE_EGN_3615  INT,</v>
      </c>
      <c r="M127" s="1" t="str">
        <f t="shared" si="10"/>
        <v>SELECT @COURSE_EGN_3615  = CourseID FROM Bellini.Course WHERE CoursePrefix = 'EGN' AND CourseNumber = '3615';</v>
      </c>
      <c r="O127" s="1" t="s">
        <v>980</v>
      </c>
      <c r="U127" s="1" t="str">
        <f t="shared" si="11"/>
        <v/>
      </c>
      <c r="V127" s="1" t="str">
        <f t="shared" si="12"/>
        <v/>
      </c>
      <c r="W127" s="1" t="str">
        <f t="shared" si="13"/>
        <v/>
      </c>
      <c r="Y127" s="1" t="s">
        <v>1801</v>
      </c>
      <c r="AA127" s="1" t="s">
        <v>1291</v>
      </c>
      <c r="AB127" s="1" t="str">
        <f t="shared" si="14"/>
        <v/>
      </c>
      <c r="AC127" s="1" t="s">
        <v>1291</v>
      </c>
    </row>
    <row r="128" spans="1:29" x14ac:dyDescent="0.3">
      <c r="A128" s="1" t="s">
        <v>236</v>
      </c>
      <c r="B128" s="1" t="s">
        <v>249</v>
      </c>
      <c r="C128" s="1" t="s">
        <v>250</v>
      </c>
      <c r="D128" s="1">
        <v>2</v>
      </c>
      <c r="E128" s="1" t="s">
        <v>532</v>
      </c>
      <c r="G128" s="1" t="s">
        <v>534</v>
      </c>
      <c r="I128" s="1" t="str">
        <f t="shared" si="8"/>
        <v xml:space="preserve">    ('EGN', '4450', 'Introduction to Linear Systems', 2, 'Study and application of matrix algebra, differential equations and calculus of finite differences.', 4000),</v>
      </c>
      <c r="K128" s="1" t="str">
        <f t="shared" si="9"/>
        <v xml:space="preserve">    @COURSE_EGN_4450  INT,</v>
      </c>
      <c r="M128" s="1" t="str">
        <f t="shared" si="10"/>
        <v>SELECT @COURSE_EGN_4450  = CourseID FROM Bellini.Course WHERE CoursePrefix = 'EGN' AND CourseNumber = '4450';</v>
      </c>
      <c r="O128" s="1" t="s">
        <v>981</v>
      </c>
      <c r="Q128" s="1" t="s">
        <v>532</v>
      </c>
      <c r="U128" s="1" t="str">
        <f t="shared" si="11"/>
        <v xml:space="preserve">    (@COURSE_EGN_4450, @COURSE_MAC_2282, 'C');</v>
      </c>
      <c r="V128" s="1" t="str">
        <f t="shared" si="12"/>
        <v/>
      </c>
      <c r="W128" s="1" t="str">
        <f t="shared" si="13"/>
        <v/>
      </c>
      <c r="Y128" s="1" t="s">
        <v>1802</v>
      </c>
      <c r="AA128" s="1" t="s">
        <v>1291</v>
      </c>
      <c r="AB128" s="1" t="str">
        <f t="shared" si="14"/>
        <v/>
      </c>
      <c r="AC128" s="1" t="s">
        <v>1291</v>
      </c>
    </row>
    <row r="129" spans="1:29" x14ac:dyDescent="0.3">
      <c r="A129" s="1" t="s">
        <v>251</v>
      </c>
      <c r="B129" s="1" t="s">
        <v>252</v>
      </c>
      <c r="C129" s="1" t="s">
        <v>253</v>
      </c>
      <c r="D129" s="1">
        <v>3</v>
      </c>
      <c r="G129" s="1" t="s">
        <v>535</v>
      </c>
      <c r="I129" s="1" t="str">
        <f t="shared" si="8"/>
        <v xml:space="preserve">    ('ENC', '1101', 'Composition I', 3, 'This course helps prepare students for academic work by emphasizing expository writing, the basics of library research, and the conventions of academic discourse.', 1000),</v>
      </c>
      <c r="K129" s="1" t="str">
        <f t="shared" si="9"/>
        <v xml:space="preserve">    @COURSE_ENC_1101  INT,</v>
      </c>
      <c r="M129" s="1" t="str">
        <f t="shared" si="10"/>
        <v>SELECT @COURSE_ENC_1101  = CourseID FROM Bellini.Course WHERE CoursePrefix = 'ENC' AND CourseNumber = '1101';</v>
      </c>
      <c r="O129" s="1" t="s">
        <v>982</v>
      </c>
      <c r="U129" s="1" t="str">
        <f t="shared" si="11"/>
        <v/>
      </c>
      <c r="V129" s="1" t="str">
        <f t="shared" si="12"/>
        <v/>
      </c>
      <c r="W129" s="1" t="str">
        <f t="shared" si="13"/>
        <v/>
      </c>
      <c r="Y129" s="1" t="s">
        <v>1803</v>
      </c>
      <c r="AA129" s="1" t="s">
        <v>1291</v>
      </c>
      <c r="AB129" s="1" t="str">
        <f t="shared" si="14"/>
        <v/>
      </c>
      <c r="AC129" s="1" t="s">
        <v>1291</v>
      </c>
    </row>
    <row r="130" spans="1:29" x14ac:dyDescent="0.3">
      <c r="A130" s="1" t="s">
        <v>251</v>
      </c>
      <c r="B130" s="1" t="s">
        <v>254</v>
      </c>
      <c r="C130" s="1" t="s">
        <v>255</v>
      </c>
      <c r="D130" s="1">
        <v>3</v>
      </c>
      <c r="E130" s="1" t="s">
        <v>7</v>
      </c>
      <c r="G130" s="1" t="s">
        <v>536</v>
      </c>
      <c r="I130" s="1" t="str">
        <f t="shared" si="8"/>
        <v xml:space="preserve">    ('ENC', '1102', 'Composition II', 3, 'This course emphasizes argument, research, and style. As students engage in creative and critical thinking, they learn to support assertions based on audience and purpose; students apply library research, strategies for revision, and peer response.', 1000),</v>
      </c>
      <c r="K130" s="1" t="str">
        <f t="shared" si="9"/>
        <v xml:space="preserve">    @COURSE_ENC_1102  INT,</v>
      </c>
      <c r="M130" s="1" t="str">
        <f t="shared" si="10"/>
        <v>SELECT @COURSE_ENC_1102  = CourseID FROM Bellini.Course WHERE CoursePrefix = 'ENC' AND CourseNumber = '1102';</v>
      </c>
      <c r="O130" s="1" t="s">
        <v>983</v>
      </c>
      <c r="Q130" s="1" t="s">
        <v>7</v>
      </c>
      <c r="U130" s="1" t="str">
        <f t="shared" si="11"/>
        <v xml:space="preserve">    (@COURSE_ENC_1102, @COURSE_ENC_1101, 'C');</v>
      </c>
      <c r="V130" s="1" t="str">
        <f t="shared" si="12"/>
        <v/>
      </c>
      <c r="W130" s="1" t="str">
        <f t="shared" si="13"/>
        <v/>
      </c>
      <c r="Y130" s="1" t="s">
        <v>1804</v>
      </c>
      <c r="AA130" s="1" t="s">
        <v>1291</v>
      </c>
      <c r="AB130" s="1" t="str">
        <f t="shared" si="14"/>
        <v/>
      </c>
      <c r="AC130" s="1" t="s">
        <v>1291</v>
      </c>
    </row>
    <row r="131" spans="1:29" x14ac:dyDescent="0.3">
      <c r="A131" s="1" t="s">
        <v>251</v>
      </c>
      <c r="B131" s="1" t="s">
        <v>256</v>
      </c>
      <c r="C131" s="1" t="s">
        <v>257</v>
      </c>
      <c r="D131" s="1">
        <v>3</v>
      </c>
      <c r="E131" s="1" t="s">
        <v>538</v>
      </c>
      <c r="G131" s="1" t="s">
        <v>537</v>
      </c>
      <c r="I131" s="1" t="str">
        <f t="shared" si="8"/>
        <v xml:space="preserve">    ('ENC', '3246', 'Communication for Engineers', 3, 'Focuses on writing concerns of engineers. Deals with the content, organization, format, and style of specific types of engineering documents. Provides opportunity to improve oral presentations.', 3000),</v>
      </c>
      <c r="K131" s="1" t="str">
        <f t="shared" si="9"/>
        <v xml:space="preserve">    @COURSE_ENC_3246  INT,</v>
      </c>
      <c r="M131" s="1" t="str">
        <f t="shared" si="10"/>
        <v>SELECT @COURSE_ENC_3246  = CourseID FROM Bellini.Course WHERE CoursePrefix = 'ENC' AND CourseNumber = '3246';</v>
      </c>
      <c r="O131" s="1" t="s">
        <v>984</v>
      </c>
      <c r="Q131" s="1" t="s">
        <v>538</v>
      </c>
      <c r="U131" s="1" t="str">
        <f t="shared" si="11"/>
        <v xml:space="preserve">    (@COURSE_ENC_3246, @COURSE_ENC_1102, 'C');</v>
      </c>
      <c r="V131" s="1" t="str">
        <f t="shared" si="12"/>
        <v/>
      </c>
      <c r="W131" s="1" t="str">
        <f t="shared" si="13"/>
        <v/>
      </c>
      <c r="Y131" s="1" t="s">
        <v>1805</v>
      </c>
      <c r="AA131" s="1" t="s">
        <v>1291</v>
      </c>
      <c r="AB131" s="1" t="str">
        <f t="shared" si="14"/>
        <v/>
      </c>
      <c r="AC131" s="1" t="s">
        <v>1291</v>
      </c>
    </row>
    <row r="132" spans="1:29" x14ac:dyDescent="0.3">
      <c r="A132" s="1" t="s">
        <v>330</v>
      </c>
      <c r="B132" s="1" t="s">
        <v>308</v>
      </c>
      <c r="C132" s="1" t="s">
        <v>331</v>
      </c>
      <c r="D132" s="1">
        <v>3</v>
      </c>
      <c r="G132" s="1" t="s">
        <v>539</v>
      </c>
      <c r="I132" s="1" t="str">
        <f t="shared" ref="I132:I169" si="15">"    ('" &amp; A132 &amp; "', '" &amp; B132 &amp; "', '" &amp; C132 &amp; "', " &amp; D132 &amp; ", '" &amp; G132 &amp; "', " &amp; 1000 * ROUNDDOWN(MID(B132, 1, 4) / 1000, 0) &amp; "),"</f>
        <v xml:space="preserve">    ('ESC', '2000', 'Introduction to Earth Science', 3, 'An introductory course in the Earth Sciences. Topics covered include geology, weather, climate change, ocean dynamics, and the history of the Earth, the solar system and beyond', 2000),</v>
      </c>
      <c r="K132" s="1" t="str">
        <f t="shared" ref="K132:K169" si="16">"    @COURSE_" &amp; A132 &amp; "_" &amp; B132 &amp; IF(LEN(B132) = 4, " ", "") &amp; " INT,"</f>
        <v xml:space="preserve">    @COURSE_ESC_2000  INT,</v>
      </c>
      <c r="M132" s="1" t="str">
        <f t="shared" ref="M132:M169" si="17">"SELECT @COURSE_" &amp; A132 &amp; "_" &amp; B132 &amp; IF(LEN(B132) = 4, " ", "") &amp; " = CourseID FROM Bellini.Course WHERE CoursePrefix = '" &amp; A132 &amp; "' AND CourseNumber = '" &amp; B132 &amp; "';"</f>
        <v>SELECT @COURSE_ESC_2000  = CourseID FROM Bellini.Course WHERE CoursePrefix = 'ESC' AND CourseNumber = '2000';</v>
      </c>
      <c r="O132" s="1" t="s">
        <v>985</v>
      </c>
      <c r="U132" s="1" t="str">
        <f t="shared" ref="U132:U169" si="18">IF(Q132 &lt;&gt; "", "    (@COURSE_" &amp; $A132 &amp; "_" &amp; $B132 &amp; ", @COURSE_" &amp; MID(Q132, 1, 3) &amp; "_" &amp; MID(Q132, 5, 10) &amp; ", 'C');", "")</f>
        <v/>
      </c>
      <c r="V132" s="1" t="str">
        <f t="shared" ref="V132:V169" si="19">IF(R132 &lt;&gt; "", "    (@COURSE_" &amp; $A132 &amp; "_" &amp; $B132 &amp; ", @COURSE_" &amp; MID(R132, 1, 3) &amp; "_" &amp; MID(R132, 5, 10) &amp; ", 'C');", "")</f>
        <v/>
      </c>
      <c r="W132" s="1" t="str">
        <f t="shared" ref="W132:W169" si="20">IF(S132 &lt;&gt; "", "    (@COURSE_" &amp; $A132 &amp; "_" &amp; $B132 &amp; ", @COURSE_" &amp; MID(S132, 1, 3) &amp; "_" &amp; MID(S132, 5, 10) &amp; ", 'C');", "")</f>
        <v/>
      </c>
      <c r="Y132" s="1" t="s">
        <v>1806</v>
      </c>
      <c r="AA132" s="1" t="s">
        <v>1291</v>
      </c>
      <c r="AB132" s="1" t="str">
        <f t="shared" ref="AB132:AC169" si="21">IF(AA132 &lt;&gt; "", "    (@COURSE_" &amp; $A132 &amp; "_" &amp; $B132 &amp; ", @COURSE_" &amp; MID(AA132, 1, 3) &amp; "_" &amp; MID(AA132, 5, 10) &amp; "),", "")</f>
        <v/>
      </c>
      <c r="AC132" s="1" t="s">
        <v>1291</v>
      </c>
    </row>
    <row r="133" spans="1:29" x14ac:dyDescent="0.3">
      <c r="A133" s="1" t="s">
        <v>332</v>
      </c>
      <c r="B133" s="1" t="s">
        <v>333</v>
      </c>
      <c r="C133" s="1" t="s">
        <v>334</v>
      </c>
      <c r="D133" s="1">
        <v>3</v>
      </c>
      <c r="G133" s="1" t="s">
        <v>540</v>
      </c>
      <c r="I133" s="1" t="str">
        <f t="shared" si="15"/>
        <v xml:space="preserve">    ('EVR', '2001', 'Introduction to Environmental Science', 3, 'An introductory lecture course linking the human and physical/biological world. The course will develop an understanding of population and resource interactions.', 2000),</v>
      </c>
      <c r="K133" s="1" t="str">
        <f t="shared" si="16"/>
        <v xml:space="preserve">    @COURSE_EVR_2001  INT,</v>
      </c>
      <c r="M133" s="1" t="str">
        <f t="shared" si="17"/>
        <v>SELECT @COURSE_EVR_2001  = CourseID FROM Bellini.Course WHERE CoursePrefix = 'EVR' AND CourseNumber = '2001';</v>
      </c>
      <c r="O133" s="1" t="s">
        <v>986</v>
      </c>
      <c r="U133" s="1" t="str">
        <f t="shared" si="18"/>
        <v/>
      </c>
      <c r="V133" s="1" t="str">
        <f t="shared" si="19"/>
        <v/>
      </c>
      <c r="W133" s="1" t="str">
        <f t="shared" si="20"/>
        <v/>
      </c>
      <c r="Y133" s="1" t="s">
        <v>1807</v>
      </c>
      <c r="AA133" s="1" t="s">
        <v>1291</v>
      </c>
      <c r="AB133" s="1" t="str">
        <f t="shared" si="21"/>
        <v/>
      </c>
      <c r="AC133" s="1" t="s">
        <v>1291</v>
      </c>
    </row>
    <row r="134" spans="1:29" x14ac:dyDescent="0.3">
      <c r="A134" s="1" t="s">
        <v>309</v>
      </c>
      <c r="B134" s="1" t="s">
        <v>310</v>
      </c>
      <c r="C134" s="1" t="s">
        <v>311</v>
      </c>
      <c r="D134" s="1">
        <v>3</v>
      </c>
      <c r="G134" s="1" t="s">
        <v>541</v>
      </c>
      <c r="I134" s="1" t="str">
        <f t="shared" si="15"/>
        <v xml:space="preserve">    ('HUM', '1020', 'Introduction to Humanities', 3, 'Analysis of selected works of literature, music, film, and visual art, representing artists of diverse periods, cultures, genders, and races. Especially recommended for students who later take 4000-level Humanities courses.', 1000),</v>
      </c>
      <c r="K134" s="1" t="str">
        <f t="shared" si="16"/>
        <v xml:space="preserve">    @COURSE_HUM_1020  INT,</v>
      </c>
      <c r="M134" s="1" t="str">
        <f t="shared" si="17"/>
        <v>SELECT @COURSE_HUM_1020  = CourseID FROM Bellini.Course WHERE CoursePrefix = 'HUM' AND CourseNumber = '1020';</v>
      </c>
      <c r="O134" s="1" t="s">
        <v>987</v>
      </c>
      <c r="U134" s="1" t="str">
        <f t="shared" si="18"/>
        <v/>
      </c>
      <c r="V134" s="1" t="str">
        <f t="shared" si="19"/>
        <v/>
      </c>
      <c r="W134" s="1" t="str">
        <f t="shared" si="20"/>
        <v/>
      </c>
      <c r="Y134" s="1" t="s">
        <v>1808</v>
      </c>
      <c r="AA134" s="1" t="s">
        <v>1291</v>
      </c>
      <c r="AB134" s="1" t="str">
        <f t="shared" si="21"/>
        <v/>
      </c>
      <c r="AC134" s="1" t="s">
        <v>1291</v>
      </c>
    </row>
    <row r="135" spans="1:29" x14ac:dyDescent="0.3">
      <c r="A135" s="1" t="s">
        <v>258</v>
      </c>
      <c r="B135" s="1" t="s">
        <v>259</v>
      </c>
      <c r="C135" s="1" t="s">
        <v>260</v>
      </c>
      <c r="D135" s="1">
        <v>3</v>
      </c>
      <c r="G135" s="1" t="s">
        <v>542</v>
      </c>
      <c r="I135" s="1" t="str">
        <f t="shared" si="15"/>
        <v xml:space="preserve">    ('INR', '3033', 'International Political Cultures', 3, 'This course will explore ways in which culture influences the nature of government, economic success or failure, and constructive and destructive modes of self and social identification.', 3000),</v>
      </c>
      <c r="K135" s="1" t="str">
        <f t="shared" si="16"/>
        <v xml:space="preserve">    @COURSE_INR_3033  INT,</v>
      </c>
      <c r="M135" s="1" t="str">
        <f t="shared" si="17"/>
        <v>SELECT @COURSE_INR_3033  = CourseID FROM Bellini.Course WHERE CoursePrefix = 'INR' AND CourseNumber = '3033';</v>
      </c>
      <c r="O135" s="1" t="s">
        <v>988</v>
      </c>
      <c r="U135" s="1" t="str">
        <f t="shared" si="18"/>
        <v/>
      </c>
      <c r="V135" s="1" t="str">
        <f t="shared" si="19"/>
        <v/>
      </c>
      <c r="W135" s="1" t="str">
        <f t="shared" si="20"/>
        <v/>
      </c>
      <c r="Y135" s="1" t="s">
        <v>1809</v>
      </c>
      <c r="AA135" s="1" t="s">
        <v>1291</v>
      </c>
      <c r="AB135" s="1" t="str">
        <f t="shared" si="21"/>
        <v/>
      </c>
      <c r="AC135" s="1" t="s">
        <v>1291</v>
      </c>
    </row>
    <row r="136" spans="1:29" x14ac:dyDescent="0.3">
      <c r="A136" s="1" t="s">
        <v>261</v>
      </c>
      <c r="B136" s="1">
        <v>3011</v>
      </c>
      <c r="C136" s="1" t="s">
        <v>545</v>
      </c>
      <c r="D136" s="1">
        <v>3</v>
      </c>
      <c r="E136" s="1" t="s">
        <v>546</v>
      </c>
      <c r="G136" s="1" t="s">
        <v>547</v>
      </c>
      <c r="I136" s="1" t="str">
        <f t="shared" si="15"/>
        <v xml:space="preserve">    ('ISM', '3011', 'Information Systems in Organizations', 3, 'An introduction to the language, concepts, structures and processes involved in the management of information systems including fundamentals of computer-based technology and the use of businessbased software for support of managerial decisions.', 3000),</v>
      </c>
      <c r="K136" s="1" t="str">
        <f t="shared" si="16"/>
        <v xml:space="preserve">    @COURSE_ISM_3011  INT,</v>
      </c>
      <c r="M136" s="1" t="str">
        <f t="shared" si="17"/>
        <v>SELECT @COURSE_ISM_3011  = CourseID FROM Bellini.Course WHERE CoursePrefix = 'ISM' AND CourseNumber = '3011';</v>
      </c>
      <c r="O136" s="1" t="s">
        <v>989</v>
      </c>
      <c r="Q136" s="1" t="s">
        <v>546</v>
      </c>
      <c r="U136" s="1" t="str">
        <f t="shared" si="18"/>
        <v xml:space="preserve">    (@COURSE_ISM_3011, @COURSE_CGS_2100, 'C');</v>
      </c>
      <c r="V136" s="1" t="str">
        <f t="shared" si="19"/>
        <v/>
      </c>
      <c r="W136" s="1" t="str">
        <f t="shared" si="20"/>
        <v/>
      </c>
      <c r="Y136" s="1" t="s">
        <v>1810</v>
      </c>
      <c r="AA136" s="1" t="s">
        <v>1291</v>
      </c>
      <c r="AB136" s="1" t="str">
        <f t="shared" si="21"/>
        <v/>
      </c>
      <c r="AC136" s="1" t="s">
        <v>1291</v>
      </c>
    </row>
    <row r="137" spans="1:29" x14ac:dyDescent="0.3">
      <c r="A137" s="1" t="s">
        <v>261</v>
      </c>
      <c r="B137" s="1" t="s">
        <v>262</v>
      </c>
      <c r="C137" s="1" t="s">
        <v>263</v>
      </c>
      <c r="D137" s="1">
        <v>3</v>
      </c>
      <c r="E137" s="1" t="s">
        <v>544</v>
      </c>
      <c r="G137" s="1" t="s">
        <v>543</v>
      </c>
      <c r="I137" s="1" t="str">
        <f t="shared" si="15"/>
        <v xml:space="preserve">    ('ISM', '4041', 'Global Cyber Ethics', 3, 'This course provides students an in-depth look at the social costs and moral problems that have arisen by the expanded use of the Internet, and offers up-todate legal and philosophical perspectives on the global scale for the business community.', 4000),</v>
      </c>
      <c r="K137" s="1" t="str">
        <f t="shared" si="16"/>
        <v xml:space="preserve">    @COURSE_ISM_4041  INT,</v>
      </c>
      <c r="M137" s="1" t="str">
        <f t="shared" si="17"/>
        <v>SELECT @COURSE_ISM_4041  = CourseID FROM Bellini.Course WHERE CoursePrefix = 'ISM' AND CourseNumber = '4041';</v>
      </c>
      <c r="O137" s="1" t="s">
        <v>990</v>
      </c>
      <c r="Q137" s="1" t="s">
        <v>544</v>
      </c>
      <c r="U137" s="1" t="str">
        <f t="shared" si="18"/>
        <v xml:space="preserve">    (@COURSE_ISM_4041, @COURSE_ISM_3011, 'C');</v>
      </c>
      <c r="V137" s="1" t="str">
        <f t="shared" si="19"/>
        <v/>
      </c>
      <c r="W137" s="1" t="str">
        <f t="shared" si="20"/>
        <v/>
      </c>
      <c r="Y137" s="1" t="s">
        <v>1811</v>
      </c>
      <c r="AA137" s="1" t="s">
        <v>1291</v>
      </c>
      <c r="AB137" s="1" t="str">
        <f t="shared" si="21"/>
        <v/>
      </c>
      <c r="AC137" s="1" t="s">
        <v>1291</v>
      </c>
    </row>
    <row r="138" spans="1:29" x14ac:dyDescent="0.3">
      <c r="A138" s="1" t="s">
        <v>261</v>
      </c>
      <c r="B138" s="1" t="s">
        <v>73</v>
      </c>
      <c r="C138" s="1" t="s">
        <v>264</v>
      </c>
      <c r="D138" s="1">
        <v>3</v>
      </c>
      <c r="E138" s="1" t="s">
        <v>544</v>
      </c>
      <c r="G138" s="1" t="s">
        <v>550</v>
      </c>
      <c r="I138" s="1" t="str">
        <f t="shared" si="15"/>
        <v xml:space="preserve">    ('ISM', '4323', 'Information Security and IT Risk Management', 3, 'Senior standing, all majors. Introduction to information security and IT risk management in organizations. Covers essential IT general controls and frameworks to assess IT risk in a business environment.', 4000),</v>
      </c>
      <c r="K138" s="1" t="str">
        <f t="shared" si="16"/>
        <v xml:space="preserve">    @COURSE_ISM_4323  INT,</v>
      </c>
      <c r="M138" s="1" t="str">
        <f t="shared" si="17"/>
        <v>SELECT @COURSE_ISM_4323  = CourseID FROM Bellini.Course WHERE CoursePrefix = 'ISM' AND CourseNumber = '4323';</v>
      </c>
      <c r="O138" s="1" t="s">
        <v>991</v>
      </c>
      <c r="Q138" s="1" t="s">
        <v>544</v>
      </c>
      <c r="U138" s="1" t="str">
        <f t="shared" si="18"/>
        <v xml:space="preserve">    (@COURSE_ISM_4323, @COURSE_ISM_3011, 'C');</v>
      </c>
      <c r="V138" s="1" t="str">
        <f t="shared" si="19"/>
        <v/>
      </c>
      <c r="W138" s="1" t="str">
        <f t="shared" si="20"/>
        <v/>
      </c>
      <c r="Y138" s="1" t="s">
        <v>1812</v>
      </c>
      <c r="AA138" s="1" t="s">
        <v>1291</v>
      </c>
      <c r="AB138" s="1" t="str">
        <f t="shared" si="21"/>
        <v/>
      </c>
      <c r="AC138" s="1" t="s">
        <v>1291</v>
      </c>
    </row>
    <row r="139" spans="1:29" x14ac:dyDescent="0.3">
      <c r="A139" s="1" t="s">
        <v>265</v>
      </c>
      <c r="B139" s="1" t="s">
        <v>266</v>
      </c>
      <c r="C139" s="1" t="s">
        <v>267</v>
      </c>
      <c r="D139" s="1">
        <v>3</v>
      </c>
      <c r="G139" s="1" t="s">
        <v>551</v>
      </c>
      <c r="I139" s="1" t="str">
        <f t="shared" si="15"/>
        <v xml:space="preserve">    ('LIS', '4414', 'Information Policy and Ethics', 3, 'Examines issues related to information and cybersecurity technology development and use in a global society. Topics include governmental regulations, policy and ethical perspectives related to information literacy, access, security and the digital divide.', 4000),</v>
      </c>
      <c r="K139" s="1" t="str">
        <f t="shared" si="16"/>
        <v xml:space="preserve">    @COURSE_LIS_4414  INT,</v>
      </c>
      <c r="M139" s="1" t="str">
        <f t="shared" si="17"/>
        <v>SELECT @COURSE_LIS_4414  = CourseID FROM Bellini.Course WHERE CoursePrefix = 'LIS' AND CourseNumber = '4414';</v>
      </c>
      <c r="O139" s="1" t="s">
        <v>992</v>
      </c>
      <c r="U139" s="1" t="str">
        <f t="shared" si="18"/>
        <v/>
      </c>
      <c r="V139" s="1" t="str">
        <f t="shared" si="19"/>
        <v/>
      </c>
      <c r="W139" s="1" t="str">
        <f t="shared" si="20"/>
        <v/>
      </c>
      <c r="Y139" s="1" t="s">
        <v>1813</v>
      </c>
      <c r="AA139" s="1" t="s">
        <v>1291</v>
      </c>
      <c r="AB139" s="1" t="str">
        <f t="shared" si="21"/>
        <v/>
      </c>
      <c r="AC139" s="1" t="s">
        <v>1291</v>
      </c>
    </row>
    <row r="140" spans="1:29" x14ac:dyDescent="0.3">
      <c r="A140" s="1" t="s">
        <v>265</v>
      </c>
      <c r="B140" s="1" t="s">
        <v>268</v>
      </c>
      <c r="C140" s="1" t="s">
        <v>269</v>
      </c>
      <c r="D140" s="1">
        <v>3</v>
      </c>
      <c r="G140" s="1" t="s">
        <v>552</v>
      </c>
      <c r="I140" s="1" t="str">
        <f t="shared" si="15"/>
        <v xml:space="preserve">    ('LIS', '4779', 'Health Information Security', 3, 'Examines soft and technological threats to protected heath information and methods for reducing these threats with a focus on HIPAA compliance.', 4000),</v>
      </c>
      <c r="K140" s="1" t="str">
        <f t="shared" si="16"/>
        <v xml:space="preserve">    @COURSE_LIS_4779  INT,</v>
      </c>
      <c r="M140" s="1" t="str">
        <f t="shared" si="17"/>
        <v>SELECT @COURSE_LIS_4779  = CourseID FROM Bellini.Course WHERE CoursePrefix = 'LIS' AND CourseNumber = '4779';</v>
      </c>
      <c r="O140" s="1" t="s">
        <v>993</v>
      </c>
      <c r="U140" s="1" t="str">
        <f t="shared" si="18"/>
        <v/>
      </c>
      <c r="V140" s="1" t="str">
        <f t="shared" si="19"/>
        <v/>
      </c>
      <c r="W140" s="1" t="str">
        <f t="shared" si="20"/>
        <v/>
      </c>
      <c r="Y140" s="1" t="s">
        <v>1814</v>
      </c>
      <c r="AA140" s="1" t="s">
        <v>1291</v>
      </c>
      <c r="AB140" s="1" t="str">
        <f t="shared" si="21"/>
        <v/>
      </c>
      <c r="AC140" s="1" t="s">
        <v>1291</v>
      </c>
    </row>
    <row r="141" spans="1:29" x14ac:dyDescent="0.3">
      <c r="A141" s="1" t="s">
        <v>312</v>
      </c>
      <c r="B141" s="1" t="s">
        <v>308</v>
      </c>
      <c r="C141" s="1" t="s">
        <v>313</v>
      </c>
      <c r="D141" s="1">
        <v>3</v>
      </c>
      <c r="G141" s="1" t="s">
        <v>553</v>
      </c>
      <c r="I141" s="1" t="str">
        <f t="shared" si="15"/>
        <v xml:space="preserve">    ('LIT', '2000', 'Introduction to Literature', 3, 'This course will introduce students to the three major literary forms of prose, poetry and drama as well as to various "schools" of literary criticism.', 2000),</v>
      </c>
      <c r="K141" s="1" t="str">
        <f t="shared" si="16"/>
        <v xml:space="preserve">    @COURSE_LIT_2000  INT,</v>
      </c>
      <c r="M141" s="1" t="str">
        <f t="shared" si="17"/>
        <v>SELECT @COURSE_LIT_2000  = CourseID FROM Bellini.Course WHERE CoursePrefix = 'LIT' AND CourseNumber = '2000';</v>
      </c>
      <c r="O141" s="1" t="s">
        <v>994</v>
      </c>
      <c r="U141" s="1" t="str">
        <f t="shared" si="18"/>
        <v/>
      </c>
      <c r="V141" s="1" t="str">
        <f t="shared" si="19"/>
        <v/>
      </c>
      <c r="W141" s="1" t="str">
        <f t="shared" si="20"/>
        <v/>
      </c>
      <c r="Y141" s="1" t="s">
        <v>1815</v>
      </c>
      <c r="AA141" s="1" t="s">
        <v>1291</v>
      </c>
      <c r="AB141" s="1" t="str">
        <f t="shared" si="21"/>
        <v/>
      </c>
      <c r="AC141" s="1" t="s">
        <v>1291</v>
      </c>
    </row>
    <row r="142" spans="1:29" x14ac:dyDescent="0.3">
      <c r="A142" s="1" t="s">
        <v>270</v>
      </c>
      <c r="B142" s="1" t="s">
        <v>319</v>
      </c>
      <c r="C142" s="1" t="s">
        <v>320</v>
      </c>
      <c r="D142" s="1">
        <v>3</v>
      </c>
      <c r="E142" s="1" t="s">
        <v>555</v>
      </c>
      <c r="G142" s="1" t="s">
        <v>554</v>
      </c>
      <c r="I142" s="1" t="str">
        <f t="shared" si="15"/>
        <v xml:space="preserve">    ('MAC', '1105', 'College Algebra', 3, 'Concepts of the real number system, functions, graphs, and complex numbers. Analytic skills for solving linear, quadratic, polynomial, exponential, and logarithmic equations. Mathematical modeling of real life applications. College Algebra may be taken either for General Education credit or as preparation for a pre-calculus course.', 1000),</v>
      </c>
      <c r="K142" s="1" t="str">
        <f t="shared" si="16"/>
        <v xml:space="preserve">    @COURSE_MAC_1105  INT,</v>
      </c>
      <c r="M142" s="1" t="str">
        <f t="shared" si="17"/>
        <v>SELECT @COURSE_MAC_1105  = CourseID FROM Bellini.Course WHERE CoursePrefix = 'MAC' AND CourseNumber = '1105';</v>
      </c>
      <c r="O142" s="1" t="s">
        <v>995</v>
      </c>
      <c r="Q142" s="1" t="s">
        <v>555</v>
      </c>
      <c r="U142" s="1" t="str">
        <f t="shared" si="18"/>
        <v xml:space="preserve">    (@COURSE_MAC_1105, @COURSE_MAT_1033, 'C');</v>
      </c>
      <c r="V142" s="1" t="str">
        <f t="shared" si="19"/>
        <v/>
      </c>
      <c r="W142" s="1" t="str">
        <f t="shared" si="20"/>
        <v/>
      </c>
      <c r="Y142" s="1" t="s">
        <v>1816</v>
      </c>
      <c r="AA142" s="1" t="s">
        <v>1291</v>
      </c>
      <c r="AB142" s="1" t="str">
        <f t="shared" si="21"/>
        <v/>
      </c>
      <c r="AC142" s="1" t="s">
        <v>1291</v>
      </c>
    </row>
    <row r="143" spans="1:29" x14ac:dyDescent="0.3">
      <c r="A143" s="1" t="s">
        <v>270</v>
      </c>
      <c r="B143" s="1" t="s">
        <v>271</v>
      </c>
      <c r="C143" s="1" t="s">
        <v>272</v>
      </c>
      <c r="D143" s="1">
        <v>4</v>
      </c>
      <c r="E143" s="1" t="s">
        <v>423</v>
      </c>
      <c r="G143" s="1" t="s">
        <v>557</v>
      </c>
      <c r="I143" s="1" t="str">
        <f t="shared" si="15"/>
        <v xml:space="preserve">    ('MAC', '1147', 'Precalculus Algebra and Trigonometry', 4, 'This is an accelerated combination of MAC 1140 and MAC 1114 ; this course is best for students who have already seen some trigonometry. See the descriptions of MAC 1140 and MAC 1114 .', 1000),</v>
      </c>
      <c r="K143" s="1" t="str">
        <f t="shared" si="16"/>
        <v xml:space="preserve">    @COURSE_MAC_1147  INT,</v>
      </c>
      <c r="M143" s="1" t="str">
        <f t="shared" si="17"/>
        <v>SELECT @COURSE_MAC_1147  = CourseID FROM Bellini.Course WHERE CoursePrefix = 'MAC' AND CourseNumber = '1147';</v>
      </c>
      <c r="O143" s="1" t="s">
        <v>996</v>
      </c>
      <c r="Q143" s="1" t="s">
        <v>423</v>
      </c>
      <c r="U143" s="1" t="str">
        <f t="shared" si="18"/>
        <v xml:space="preserve">    (@COURSE_MAC_1147, @COURSE_MAC_1105, 'C');</v>
      </c>
      <c r="V143" s="1" t="str">
        <f t="shared" si="19"/>
        <v/>
      </c>
      <c r="W143" s="1" t="str">
        <f t="shared" si="20"/>
        <v/>
      </c>
      <c r="Y143" s="1" t="s">
        <v>1817</v>
      </c>
      <c r="AA143" s="1" t="s">
        <v>1291</v>
      </c>
      <c r="AB143" s="1" t="str">
        <f t="shared" si="21"/>
        <v/>
      </c>
      <c r="AC143" s="1" t="s">
        <v>1291</v>
      </c>
    </row>
    <row r="144" spans="1:29" x14ac:dyDescent="0.3">
      <c r="A144" s="1" t="s">
        <v>270</v>
      </c>
      <c r="B144" s="1" t="s">
        <v>273</v>
      </c>
      <c r="C144" s="1" t="s">
        <v>274</v>
      </c>
      <c r="D144" s="1">
        <v>4</v>
      </c>
      <c r="E144" s="1" t="s">
        <v>559</v>
      </c>
      <c r="G144" s="1" t="s">
        <v>558</v>
      </c>
      <c r="I144" s="1" t="str">
        <f t="shared" si="15"/>
        <v xml:space="preserve">    ('MAC', '2281', 'Engineering Calculus I', 4, 'Differentiation, limits, differentials, extremes, indefinite integral. No credit for mathematics majors.', 2000),</v>
      </c>
      <c r="K144" s="1" t="str">
        <f t="shared" si="16"/>
        <v xml:space="preserve">    @COURSE_MAC_2281  INT,</v>
      </c>
      <c r="M144" s="1" t="str">
        <f t="shared" si="17"/>
        <v>SELECT @COURSE_MAC_2281  = CourseID FROM Bellini.Course WHERE CoursePrefix = 'MAC' AND CourseNumber = '2281';</v>
      </c>
      <c r="O144" s="1" t="s">
        <v>997</v>
      </c>
      <c r="Q144" s="1" t="s">
        <v>559</v>
      </c>
      <c r="U144" s="1" t="str">
        <f t="shared" si="18"/>
        <v xml:space="preserve">    (@COURSE_MAC_2281, @COURSE_MAC_1147, 'C');</v>
      </c>
      <c r="V144" s="1" t="str">
        <f t="shared" si="19"/>
        <v/>
      </c>
      <c r="W144" s="1" t="str">
        <f t="shared" si="20"/>
        <v/>
      </c>
      <c r="Y144" s="1" t="s">
        <v>1818</v>
      </c>
      <c r="AA144" s="1" t="s">
        <v>1291</v>
      </c>
      <c r="AB144" s="1" t="str">
        <f t="shared" si="21"/>
        <v/>
      </c>
      <c r="AC144" s="1" t="s">
        <v>1291</v>
      </c>
    </row>
    <row r="145" spans="1:29" x14ac:dyDescent="0.3">
      <c r="A145" s="1" t="s">
        <v>270</v>
      </c>
      <c r="B145" s="1" t="s">
        <v>275</v>
      </c>
      <c r="C145" s="1" t="s">
        <v>276</v>
      </c>
      <c r="D145" s="1">
        <v>4</v>
      </c>
      <c r="E145" s="1" t="s">
        <v>479</v>
      </c>
      <c r="G145" s="1" t="s">
        <v>560</v>
      </c>
      <c r="I145" s="1" t="str">
        <f t="shared" si="15"/>
        <v xml:space="preserve">    ('MAC', '2282', 'Engineering Calculus II', 4, 'Definite integral, trigonometric functions, log, exponential, series, applications.', 2000),</v>
      </c>
      <c r="K145" s="1" t="str">
        <f t="shared" si="16"/>
        <v xml:space="preserve">    @COURSE_MAC_2282  INT,</v>
      </c>
      <c r="M145" s="1" t="str">
        <f t="shared" si="17"/>
        <v>SELECT @COURSE_MAC_2282  = CourseID FROM Bellini.Course WHERE CoursePrefix = 'MAC' AND CourseNumber = '2282';</v>
      </c>
      <c r="O145" s="1" t="s">
        <v>998</v>
      </c>
      <c r="Q145" s="1" t="s">
        <v>511</v>
      </c>
      <c r="U145" s="1" t="str">
        <f t="shared" si="18"/>
        <v xml:space="preserve">    (@COURSE_MAC_2282, @COURSE_MAC_2281, 'C');</v>
      </c>
      <c r="V145" s="1" t="str">
        <f t="shared" si="19"/>
        <v/>
      </c>
      <c r="W145" s="1" t="str">
        <f t="shared" si="20"/>
        <v/>
      </c>
      <c r="Y145" s="1" t="s">
        <v>1819</v>
      </c>
      <c r="AA145" s="1" t="s">
        <v>1291</v>
      </c>
      <c r="AB145" s="1" t="str">
        <f t="shared" si="21"/>
        <v/>
      </c>
      <c r="AC145" s="1" t="s">
        <v>1291</v>
      </c>
    </row>
    <row r="146" spans="1:29" x14ac:dyDescent="0.3">
      <c r="A146" s="1" t="s">
        <v>270</v>
      </c>
      <c r="B146" s="1" t="s">
        <v>277</v>
      </c>
      <c r="C146" s="1" t="s">
        <v>278</v>
      </c>
      <c r="D146" s="1">
        <v>4</v>
      </c>
      <c r="E146" s="1" t="s">
        <v>562</v>
      </c>
      <c r="G146" s="1" t="s">
        <v>561</v>
      </c>
      <c r="I146" s="1" t="str">
        <f t="shared" si="15"/>
        <v xml:space="preserve">    ('MAC', '2283', 'Engineering Calculus III', 4, 'Techniques of integration, numerical methods, analytic geometry, polar coordinates, Vector algebra, applications.', 2000),</v>
      </c>
      <c r="K146" s="1" t="str">
        <f t="shared" si="16"/>
        <v xml:space="preserve">    @COURSE_MAC_2283  INT,</v>
      </c>
      <c r="M146" s="1" t="str">
        <f t="shared" si="17"/>
        <v>SELECT @COURSE_MAC_2283  = CourseID FROM Bellini.Course WHERE CoursePrefix = 'MAC' AND CourseNumber = '2283';</v>
      </c>
      <c r="O146" s="1" t="s">
        <v>999</v>
      </c>
      <c r="Q146" s="1" t="s">
        <v>532</v>
      </c>
      <c r="U146" s="1" t="str">
        <f t="shared" si="18"/>
        <v xml:space="preserve">    (@COURSE_MAC_2283, @COURSE_MAC_2282, 'C');</v>
      </c>
      <c r="V146" s="1" t="str">
        <f t="shared" si="19"/>
        <v/>
      </c>
      <c r="W146" s="1" t="str">
        <f t="shared" si="20"/>
        <v/>
      </c>
      <c r="AA146" s="1" t="s">
        <v>1291</v>
      </c>
      <c r="AB146" s="1" t="str">
        <f t="shared" si="21"/>
        <v/>
      </c>
      <c r="AC146" s="1" t="s">
        <v>1291</v>
      </c>
    </row>
    <row r="147" spans="1:29" x14ac:dyDescent="0.3">
      <c r="A147" s="1" t="s">
        <v>270</v>
      </c>
      <c r="B147" s="1" t="s">
        <v>279</v>
      </c>
      <c r="C147" s="1" t="s">
        <v>280</v>
      </c>
      <c r="D147" s="1">
        <v>4</v>
      </c>
      <c r="E147" s="1" t="s">
        <v>559</v>
      </c>
      <c r="G147" s="1" t="s">
        <v>563</v>
      </c>
      <c r="I147" s="1" t="str">
        <f t="shared" si="15"/>
        <v xml:space="preserve">    ('MAC', '2311', 'Calculus I', 4, 'Differentiation, limits, differentials, extremes, indefinite integral.', 2000),</v>
      </c>
      <c r="K147" s="1" t="str">
        <f t="shared" si="16"/>
        <v xml:space="preserve">    @COURSE_MAC_2311  INT,</v>
      </c>
      <c r="M147" s="1" t="str">
        <f t="shared" si="17"/>
        <v>SELECT @COURSE_MAC_2311  = CourseID FROM Bellini.Course WHERE CoursePrefix = 'MAC' AND CourseNumber = '2311';</v>
      </c>
      <c r="O147" s="1" t="s">
        <v>1000</v>
      </c>
      <c r="Q147" s="1" t="s">
        <v>559</v>
      </c>
      <c r="U147" s="1" t="str">
        <f t="shared" si="18"/>
        <v xml:space="preserve">    (@COURSE_MAC_2311, @COURSE_MAC_1147, 'C');</v>
      </c>
      <c r="V147" s="1" t="str">
        <f t="shared" si="19"/>
        <v/>
      </c>
      <c r="W147" s="1" t="str">
        <f t="shared" si="20"/>
        <v/>
      </c>
      <c r="AA147" s="1" t="s">
        <v>1291</v>
      </c>
      <c r="AB147" s="1" t="str">
        <f t="shared" si="21"/>
        <v/>
      </c>
      <c r="AC147" s="1" t="s">
        <v>1291</v>
      </c>
    </row>
    <row r="148" spans="1:29" x14ac:dyDescent="0.3">
      <c r="A148" s="1" t="s">
        <v>270</v>
      </c>
      <c r="B148" s="1" t="s">
        <v>281</v>
      </c>
      <c r="C148" s="1" t="s">
        <v>282</v>
      </c>
      <c r="D148" s="1">
        <v>4</v>
      </c>
      <c r="E148" s="1" t="s">
        <v>567</v>
      </c>
      <c r="G148" s="1" t="s">
        <v>564</v>
      </c>
      <c r="I148" s="1" t="str">
        <f t="shared" si="15"/>
        <v xml:space="preserve">    ('MAC', '2312', 'Calculus II', 4, 'Antiderivatives, the definite integral, applications, series, log, exponential and trig functions.', 2000),</v>
      </c>
      <c r="K148" s="1" t="str">
        <f t="shared" si="16"/>
        <v xml:space="preserve">    @COURSE_MAC_2312  INT,</v>
      </c>
      <c r="M148" s="1" t="str">
        <f t="shared" si="17"/>
        <v>SELECT @COURSE_MAC_2312  = CourseID FROM Bellini.Course WHERE CoursePrefix = 'MAC' AND CourseNumber = '2312';</v>
      </c>
      <c r="O148" s="1" t="s">
        <v>1001</v>
      </c>
      <c r="Q148" s="1" t="s">
        <v>1671</v>
      </c>
      <c r="U148" s="1" t="str">
        <f t="shared" si="18"/>
        <v xml:space="preserve">    (@COURSE_MAC_2312, @COURSE_ MA_ 2281, 'C');</v>
      </c>
      <c r="V148" s="1" t="str">
        <f t="shared" si="19"/>
        <v/>
      </c>
      <c r="W148" s="1" t="str">
        <f t="shared" si="20"/>
        <v/>
      </c>
      <c r="AA148" s="1" t="s">
        <v>1291</v>
      </c>
      <c r="AB148" s="1" t="str">
        <f t="shared" si="21"/>
        <v/>
      </c>
      <c r="AC148" s="1" t="s">
        <v>1291</v>
      </c>
    </row>
    <row r="149" spans="1:29" x14ac:dyDescent="0.3">
      <c r="A149" s="1" t="s">
        <v>270</v>
      </c>
      <c r="B149" s="1" t="s">
        <v>283</v>
      </c>
      <c r="C149" s="1" t="s">
        <v>284</v>
      </c>
      <c r="D149" s="1">
        <v>4</v>
      </c>
      <c r="E149" s="1" t="s">
        <v>566</v>
      </c>
      <c r="G149" s="1" t="s">
        <v>565</v>
      </c>
      <c r="I149" s="1" t="str">
        <f t="shared" si="15"/>
        <v xml:space="preserve">    ('MAC', '2313', 'Calculus III', 4, 'Integration, polar coordinates, conic sections, vectors, indeterminate forms and proper integrals.', 2000),</v>
      </c>
      <c r="K149" s="1" t="str">
        <f t="shared" si="16"/>
        <v xml:space="preserve">    @COURSE_MAC_2313  INT,</v>
      </c>
      <c r="M149" s="1" t="str">
        <f t="shared" si="17"/>
        <v>SELECT @COURSE_MAC_2313  = CourseID FROM Bellini.Course WHERE CoursePrefix = 'MAC' AND CourseNumber = '2313';</v>
      </c>
      <c r="O149" s="1" t="s">
        <v>1002</v>
      </c>
      <c r="Q149" s="1" t="s">
        <v>532</v>
      </c>
      <c r="U149" s="1" t="str">
        <f t="shared" si="18"/>
        <v xml:space="preserve">    (@COURSE_MAC_2313, @COURSE_MAC_2282, 'C');</v>
      </c>
      <c r="V149" s="1" t="str">
        <f t="shared" si="19"/>
        <v/>
      </c>
      <c r="W149" s="1" t="str">
        <f t="shared" si="20"/>
        <v/>
      </c>
      <c r="AA149" s="1" t="s">
        <v>1291</v>
      </c>
      <c r="AB149" s="1" t="str">
        <f t="shared" si="21"/>
        <v/>
      </c>
      <c r="AC149" s="1" t="s">
        <v>1291</v>
      </c>
    </row>
    <row r="150" spans="1:29" x14ac:dyDescent="0.3">
      <c r="A150" s="1" t="s">
        <v>285</v>
      </c>
      <c r="B150" s="1" t="s">
        <v>286</v>
      </c>
      <c r="C150" s="1" t="s">
        <v>287</v>
      </c>
      <c r="D150" s="1">
        <v>3</v>
      </c>
      <c r="G150" s="1" t="s">
        <v>568</v>
      </c>
      <c r="I150" s="1" t="str">
        <f t="shared" si="15"/>
        <v xml:space="preserve">    ('MAD', '2104', 'Discrete Mathematics', 3, 'This course covers set theory, logic, proofs, counting techniques, and graph theory.', 2000),</v>
      </c>
      <c r="K150" s="1" t="str">
        <f t="shared" si="16"/>
        <v xml:space="preserve">    @COURSE_MAD_2104  INT,</v>
      </c>
      <c r="M150" s="1" t="str">
        <f t="shared" si="17"/>
        <v>SELECT @COURSE_MAD_2104  = CourseID FROM Bellini.Course WHERE CoursePrefix = 'MAD' AND CourseNumber = '2104';</v>
      </c>
      <c r="O150" s="1" t="s">
        <v>1003</v>
      </c>
      <c r="U150" s="1" t="str">
        <f t="shared" si="18"/>
        <v/>
      </c>
      <c r="V150" s="1" t="str">
        <f t="shared" si="19"/>
        <v/>
      </c>
      <c r="W150" s="1" t="str">
        <f t="shared" si="20"/>
        <v/>
      </c>
      <c r="AA150" s="1" t="s">
        <v>1291</v>
      </c>
      <c r="AB150" s="1" t="str">
        <f t="shared" si="21"/>
        <v/>
      </c>
      <c r="AC150" s="1" t="s">
        <v>1291</v>
      </c>
    </row>
    <row r="151" spans="1:29" x14ac:dyDescent="0.3">
      <c r="A151" s="1" t="s">
        <v>288</v>
      </c>
      <c r="B151" s="1" t="s">
        <v>289</v>
      </c>
      <c r="C151" s="1" t="s">
        <v>290</v>
      </c>
      <c r="D151" s="1">
        <v>3</v>
      </c>
      <c r="E151" s="1" t="s">
        <v>570</v>
      </c>
      <c r="G151" s="1" t="s">
        <v>569</v>
      </c>
      <c r="I151" s="1" t="str">
        <f t="shared" si="15"/>
        <v xml:space="preserve">    ('MAP', '2302', 'Differential Equations', 3, 'First order linear and nonlinear differential equations, higher order linear equations, applications.', 2000),</v>
      </c>
      <c r="K151" s="1" t="str">
        <f t="shared" si="16"/>
        <v xml:space="preserve">    @COURSE_MAP_2302  INT,</v>
      </c>
      <c r="M151" s="1" t="str">
        <f t="shared" si="17"/>
        <v>SELECT @COURSE_MAP_2302  = CourseID FROM Bellini.Course WHERE CoursePrefix = 'MAP' AND CourseNumber = '2302';</v>
      </c>
      <c r="O151" s="1" t="s">
        <v>1004</v>
      </c>
      <c r="Q151" s="1" t="s">
        <v>532</v>
      </c>
      <c r="U151" s="1" t="str">
        <f t="shared" si="18"/>
        <v xml:space="preserve">    (@COURSE_MAP_2302, @COURSE_MAC_2282, 'C');</v>
      </c>
      <c r="V151" s="1" t="str">
        <f t="shared" si="19"/>
        <v/>
      </c>
      <c r="W151" s="1" t="str">
        <f t="shared" si="20"/>
        <v/>
      </c>
      <c r="AA151" s="1" t="s">
        <v>1291</v>
      </c>
      <c r="AB151" s="1" t="str">
        <f t="shared" si="21"/>
        <v/>
      </c>
      <c r="AC151" s="1" t="s">
        <v>1291</v>
      </c>
    </row>
    <row r="152" spans="1:29" x14ac:dyDescent="0.3">
      <c r="A152" s="1" t="s">
        <v>556</v>
      </c>
      <c r="B152" s="1">
        <v>1033</v>
      </c>
      <c r="C152" s="1" t="s">
        <v>571</v>
      </c>
      <c r="D152" s="1">
        <v>3</v>
      </c>
      <c r="G152" s="1" t="s">
        <v>572</v>
      </c>
      <c r="I152" s="1" t="str">
        <f t="shared" si="15"/>
        <v xml:space="preserve">    ('MAT', '1033', 'Intermediate Algebra', 3, 'This course provides students with an opportunity to develop algebraic knowledge needed for further study in several fields such as engineering, business, science, computer technology, and mathematics.', 1000),</v>
      </c>
      <c r="K152" s="1" t="str">
        <f t="shared" si="16"/>
        <v xml:space="preserve">    @COURSE_MAT_1033  INT,</v>
      </c>
      <c r="M152" s="1" t="str">
        <f t="shared" si="17"/>
        <v>SELECT @COURSE_MAT_1033  = CourseID FROM Bellini.Course WHERE CoursePrefix = 'MAT' AND CourseNumber = '1033';</v>
      </c>
      <c r="O152" s="1" t="s">
        <v>1005</v>
      </c>
      <c r="U152" s="1" t="str">
        <f t="shared" si="18"/>
        <v/>
      </c>
      <c r="V152" s="1" t="str">
        <f t="shared" si="19"/>
        <v/>
      </c>
      <c r="W152" s="1" t="str">
        <f t="shared" si="20"/>
        <v/>
      </c>
      <c r="AA152" s="1" t="s">
        <v>1291</v>
      </c>
      <c r="AB152" s="1" t="str">
        <f t="shared" si="21"/>
        <v/>
      </c>
      <c r="AC152" s="1" t="s">
        <v>1291</v>
      </c>
    </row>
    <row r="153" spans="1:29" x14ac:dyDescent="0.3">
      <c r="A153" s="1" t="s">
        <v>321</v>
      </c>
      <c r="B153" s="1" t="s">
        <v>322</v>
      </c>
      <c r="C153" s="1" t="s">
        <v>8</v>
      </c>
      <c r="D153" s="1">
        <v>3</v>
      </c>
      <c r="G153" s="1" t="s">
        <v>573</v>
      </c>
      <c r="I153" s="1" t="str">
        <f t="shared" si="15"/>
        <v xml:space="preserve">    ('MGF', '1106', 'Finite Mathematics', 3, 'Concepts and analytical skills in areas of logic, linear equations, linear programming, mathematics of finance, permutations and combinations, probability, and descriptive statistics.', 1000),</v>
      </c>
      <c r="K153" s="1" t="str">
        <f t="shared" si="16"/>
        <v xml:space="preserve">    @COURSE_MGF_1106  INT,</v>
      </c>
      <c r="M153" s="1" t="str">
        <f t="shared" si="17"/>
        <v>SELECT @COURSE_MGF_1106  = CourseID FROM Bellini.Course WHERE CoursePrefix = 'MGF' AND CourseNumber = '1106';</v>
      </c>
      <c r="O153" s="1" t="s">
        <v>1006</v>
      </c>
      <c r="U153" s="1" t="str">
        <f t="shared" si="18"/>
        <v/>
      </c>
      <c r="V153" s="1" t="str">
        <f t="shared" si="19"/>
        <v/>
      </c>
      <c r="W153" s="1" t="str">
        <f t="shared" si="20"/>
        <v/>
      </c>
      <c r="AA153" s="1" t="s">
        <v>1291</v>
      </c>
      <c r="AB153" s="1" t="str">
        <f t="shared" si="21"/>
        <v/>
      </c>
      <c r="AC153" s="1" t="s">
        <v>1291</v>
      </c>
    </row>
    <row r="154" spans="1:29" x14ac:dyDescent="0.3">
      <c r="A154" s="1" t="s">
        <v>321</v>
      </c>
      <c r="B154" s="1" t="s">
        <v>323</v>
      </c>
      <c r="C154" s="1" t="s">
        <v>9</v>
      </c>
      <c r="D154" s="1">
        <v>3</v>
      </c>
      <c r="G154" s="1" t="s">
        <v>574</v>
      </c>
      <c r="I154" s="1" t="str">
        <f t="shared" si="15"/>
        <v xml:space="preserve">    ('MGF', '1107', 'Mathematics for Liberal Arts', 3, 'This terminal course is intended to present topics which demonstrate the beauty and utility of mathematics to the general student population. Among the topics which might be included are: Financial Mathematics, Linear and Exponential Growth, Numbers and Number Systems, Elementary Number Theory, Voting Techniques, Graph Theory, and the History of Mathematics.', 1000),</v>
      </c>
      <c r="K154" s="1" t="str">
        <f t="shared" si="16"/>
        <v xml:space="preserve">    @COURSE_MGF_1107  INT,</v>
      </c>
      <c r="M154" s="1" t="str">
        <f t="shared" si="17"/>
        <v>SELECT @COURSE_MGF_1107  = CourseID FROM Bellini.Course WHERE CoursePrefix = 'MGF' AND CourseNumber = '1107';</v>
      </c>
      <c r="O154" s="1" t="s">
        <v>1007</v>
      </c>
      <c r="U154" s="1" t="str">
        <f t="shared" si="18"/>
        <v/>
      </c>
      <c r="V154" s="1" t="str">
        <f t="shared" si="19"/>
        <v/>
      </c>
      <c r="W154" s="1" t="str">
        <f t="shared" si="20"/>
        <v/>
      </c>
      <c r="AA154" s="1" t="s">
        <v>1291</v>
      </c>
      <c r="AB154" s="1" t="str">
        <f t="shared" si="21"/>
        <v/>
      </c>
      <c r="AC154" s="1" t="s">
        <v>1291</v>
      </c>
    </row>
    <row r="155" spans="1:29" x14ac:dyDescent="0.3">
      <c r="A155" s="1" t="s">
        <v>314</v>
      </c>
      <c r="B155" s="1" t="s">
        <v>315</v>
      </c>
      <c r="C155" s="1" t="s">
        <v>10</v>
      </c>
      <c r="D155" s="1">
        <v>3</v>
      </c>
      <c r="G155" s="1" t="s">
        <v>575</v>
      </c>
      <c r="I155" s="1" t="str">
        <f t="shared" si="15"/>
        <v xml:space="preserve">    ('MUL', '2010', 'Music and Culture', 3, 'This course is intended to expose students to a variety of music and musical experiences through lecture, discussion, and direct experience involving critical listening. Students will enhance their awareness of the various elements, origins, and developments in music, as well as enrich critical thinking skills related to evaluating music. Students will prepare critiques of music performances in writing. By the end of the course, the student should have the background for appreciating the major genres of music, as well as having an enhanced ability to appreciate the various primary elements of any musical creation and /or performance.', 2000),</v>
      </c>
      <c r="K155" s="1" t="str">
        <f t="shared" si="16"/>
        <v xml:space="preserve">    @COURSE_MUL_2010  INT,</v>
      </c>
      <c r="M155" s="1" t="str">
        <f t="shared" si="17"/>
        <v>SELECT @COURSE_MUL_2010  = CourseID FROM Bellini.Course WHERE CoursePrefix = 'MUL' AND CourseNumber = '2010';</v>
      </c>
      <c r="O155" s="1" t="s">
        <v>1008</v>
      </c>
      <c r="U155" s="1" t="str">
        <f t="shared" si="18"/>
        <v/>
      </c>
      <c r="V155" s="1" t="str">
        <f t="shared" si="19"/>
        <v/>
      </c>
      <c r="W155" s="1" t="str">
        <f t="shared" si="20"/>
        <v/>
      </c>
      <c r="AA155" s="1" t="s">
        <v>1291</v>
      </c>
      <c r="AB155" s="1" t="str">
        <f t="shared" si="21"/>
        <v/>
      </c>
      <c r="AC155" s="1" t="s">
        <v>1291</v>
      </c>
    </row>
    <row r="156" spans="1:29" x14ac:dyDescent="0.3">
      <c r="A156" s="1" t="s">
        <v>316</v>
      </c>
      <c r="B156" s="1" t="s">
        <v>315</v>
      </c>
      <c r="C156" s="1" t="s">
        <v>317</v>
      </c>
      <c r="D156" s="1">
        <v>3</v>
      </c>
      <c r="G156" s="1" t="s">
        <v>576</v>
      </c>
      <c r="I156" s="1" t="str">
        <f t="shared" si="15"/>
        <v xml:space="preserve">    ('PHI', '2010', 'Introduction to Philosophy', 3, 'An introduction to several major themes in philosophy, as well as central philosophical concepts, texts, and methods.', 2000),</v>
      </c>
      <c r="K156" s="1" t="str">
        <f t="shared" si="16"/>
        <v xml:space="preserve">    @COURSE_PHI_2010  INT,</v>
      </c>
      <c r="M156" s="1" t="str">
        <f t="shared" si="17"/>
        <v>SELECT @COURSE_PHI_2010  = CourseID FROM Bellini.Course WHERE CoursePrefix = 'PHI' AND CourseNumber = '2010';</v>
      </c>
      <c r="O156" s="1" t="s">
        <v>1009</v>
      </c>
      <c r="U156" s="1" t="str">
        <f t="shared" si="18"/>
        <v/>
      </c>
      <c r="V156" s="1" t="str">
        <f t="shared" si="19"/>
        <v/>
      </c>
      <c r="W156" s="1" t="str">
        <f t="shared" si="20"/>
        <v/>
      </c>
      <c r="AA156" s="1" t="s">
        <v>1291</v>
      </c>
      <c r="AB156" s="1" t="str">
        <f t="shared" si="21"/>
        <v/>
      </c>
      <c r="AC156" s="1" t="s">
        <v>1291</v>
      </c>
    </row>
    <row r="157" spans="1:29" x14ac:dyDescent="0.3">
      <c r="A157" s="1" t="s">
        <v>291</v>
      </c>
      <c r="B157" s="1" t="s">
        <v>292</v>
      </c>
      <c r="C157" s="1" t="s">
        <v>11</v>
      </c>
      <c r="D157" s="1">
        <v>3</v>
      </c>
      <c r="G157" s="1" t="s">
        <v>577</v>
      </c>
      <c r="I157" s="1" t="str">
        <f t="shared" si="15"/>
        <v xml:space="preserve">    ('PHY', '2020', 'Conceptual Physics', 3, 'A qualitative investigation of physics concepts. Emphasis is placed on using physics to describe how common things work. No previous physics knowledge required.', 2000),</v>
      </c>
      <c r="K157" s="1" t="str">
        <f t="shared" si="16"/>
        <v xml:space="preserve">    @COURSE_PHY_2020  INT,</v>
      </c>
      <c r="M157" s="1" t="str">
        <f t="shared" si="17"/>
        <v>SELECT @COURSE_PHY_2020  = CourseID FROM Bellini.Course WHERE CoursePrefix = 'PHY' AND CourseNumber = '2020';</v>
      </c>
      <c r="O157" s="1" t="s">
        <v>1010</v>
      </c>
      <c r="U157" s="1" t="str">
        <f t="shared" si="18"/>
        <v/>
      </c>
      <c r="V157" s="1" t="str">
        <f t="shared" si="19"/>
        <v/>
      </c>
      <c r="W157" s="1" t="str">
        <f t="shared" si="20"/>
        <v/>
      </c>
      <c r="AA157" s="1" t="s">
        <v>1291</v>
      </c>
      <c r="AB157" s="1" t="str">
        <f t="shared" si="21"/>
        <v/>
      </c>
      <c r="AC157" s="1" t="s">
        <v>1291</v>
      </c>
    </row>
    <row r="158" spans="1:29" x14ac:dyDescent="0.3">
      <c r="A158" s="1" t="s">
        <v>291</v>
      </c>
      <c r="B158" s="1" t="s">
        <v>293</v>
      </c>
      <c r="C158" s="1" t="s">
        <v>294</v>
      </c>
      <c r="D158" s="1">
        <v>3</v>
      </c>
      <c r="E158" s="1" t="s">
        <v>479</v>
      </c>
      <c r="F158" s="1" t="s">
        <v>579</v>
      </c>
      <c r="G158" s="1" t="s">
        <v>578</v>
      </c>
      <c r="I158" s="1" t="str">
        <f t="shared" si="15"/>
        <v xml:space="preserve">    ('PHY', '2048', 'General Physics I - Calculus Based', 3, 'First semester of a two-semester sequence of calculus-based General Physics which includes a study of mechanics, wave motion, sound, thermodynamics, geometrical and physical optics, electricity and magnetism for students majoring in Physics, Chemistry and Engineering.', 2000),</v>
      </c>
      <c r="K158" s="1" t="str">
        <f t="shared" si="16"/>
        <v xml:space="preserve">    @COURSE_PHY_2048  INT,</v>
      </c>
      <c r="M158" s="1" t="str">
        <f t="shared" si="17"/>
        <v>SELECT @COURSE_PHY_2048  = CourseID FROM Bellini.Course WHERE CoursePrefix = 'PHY' AND CourseNumber = '2048';</v>
      </c>
      <c r="O158" s="1" t="s">
        <v>1011</v>
      </c>
      <c r="Q158" s="1" t="s">
        <v>511</v>
      </c>
      <c r="U158" s="1" t="str">
        <f t="shared" si="18"/>
        <v xml:space="preserve">    (@COURSE_PHY_2048, @COURSE_MAC_2281, 'C');</v>
      </c>
      <c r="V158" s="1" t="str">
        <f t="shared" si="19"/>
        <v/>
      </c>
      <c r="W158" s="1" t="str">
        <f t="shared" si="20"/>
        <v/>
      </c>
      <c r="AA158" s="1" t="s">
        <v>579</v>
      </c>
      <c r="AB158" s="1" t="str">
        <f t="shared" si="21"/>
        <v xml:space="preserve">    (@COURSE_PHY_2048, @COURSE_PHY_2048L),</v>
      </c>
    </row>
    <row r="159" spans="1:29" x14ac:dyDescent="0.3">
      <c r="A159" s="1" t="s">
        <v>291</v>
      </c>
      <c r="B159" s="1" t="s">
        <v>295</v>
      </c>
      <c r="C159" s="1" t="s">
        <v>296</v>
      </c>
      <c r="D159" s="1">
        <v>1</v>
      </c>
      <c r="E159" s="1" t="s">
        <v>479</v>
      </c>
      <c r="F159" s="1" t="s">
        <v>583</v>
      </c>
      <c r="G159" s="1" t="s">
        <v>582</v>
      </c>
      <c r="I159" s="1" t="str">
        <f t="shared" si="15"/>
        <v xml:space="preserve">    ('PHY', '2048L', 'General Physics I Laboratory ', 1, 'First semester of a two-semester sequence of general physics (mechanics, wave motion, sound, thermodynamics, geometrical and physical optics, electricity, and magnetism) and laboratory for physics majors and engineering students.', 2000),</v>
      </c>
      <c r="K159" s="1" t="str">
        <f t="shared" si="16"/>
        <v xml:space="preserve">    @COURSE_PHY_2048L INT,</v>
      </c>
      <c r="M159" s="1" t="str">
        <f t="shared" si="17"/>
        <v>SELECT @COURSE_PHY_2048L = CourseID FROM Bellini.Course WHERE CoursePrefix = 'PHY' AND CourseNumber = '2048L';</v>
      </c>
      <c r="O159" s="1" t="s">
        <v>864</v>
      </c>
      <c r="Q159" s="1" t="s">
        <v>511</v>
      </c>
      <c r="U159" s="1" t="str">
        <f t="shared" si="18"/>
        <v xml:space="preserve">    (@COURSE_PHY_2048L, @COURSE_MAC_2281, 'C');</v>
      </c>
      <c r="V159" s="1" t="str">
        <f t="shared" si="19"/>
        <v/>
      </c>
      <c r="W159" s="1" t="str">
        <f t="shared" si="20"/>
        <v/>
      </c>
      <c r="AA159" s="1" t="s">
        <v>583</v>
      </c>
      <c r="AB159" s="1" t="str">
        <f t="shared" si="21"/>
        <v xml:space="preserve">    (@COURSE_PHY_2048L, @COURSE_PHY_2048),</v>
      </c>
    </row>
    <row r="160" spans="1:29" x14ac:dyDescent="0.3">
      <c r="A160" s="1" t="s">
        <v>291</v>
      </c>
      <c r="B160" s="1" t="s">
        <v>297</v>
      </c>
      <c r="C160" s="1" t="s">
        <v>298</v>
      </c>
      <c r="D160" s="1">
        <v>3</v>
      </c>
      <c r="E160" s="1" t="s">
        <v>587</v>
      </c>
      <c r="F160" s="1" t="s">
        <v>580</v>
      </c>
      <c r="G160" s="1" t="s">
        <v>586</v>
      </c>
      <c r="I160" s="1" t="str">
        <f t="shared" si="15"/>
        <v xml:space="preserve">    ('PHY', '2049', 'General Physics II - Calculus Based', 3, 'Second semester of calculus based general physics. Topics studied include wave mechanics, electricity and magnetism, and optics.', 2000),</v>
      </c>
      <c r="K160" s="1" t="str">
        <f t="shared" si="16"/>
        <v xml:space="preserve">    @COURSE_PHY_2049  INT,</v>
      </c>
      <c r="M160" s="1" t="str">
        <f t="shared" si="17"/>
        <v>SELECT @COURSE_PHY_2049  = CourseID FROM Bellini.Course WHERE CoursePrefix = 'PHY' AND CourseNumber = '2049';</v>
      </c>
      <c r="O160" s="1" t="s">
        <v>1012</v>
      </c>
      <c r="Q160" s="1" t="s">
        <v>532</v>
      </c>
      <c r="R160" s="1" t="s">
        <v>583</v>
      </c>
      <c r="S160" s="1" t="s">
        <v>579</v>
      </c>
      <c r="U160" s="1" t="str">
        <f t="shared" si="18"/>
        <v xml:space="preserve">    (@COURSE_PHY_2049, @COURSE_MAC_2282, 'C');</v>
      </c>
      <c r="V160" s="1" t="str">
        <f t="shared" si="19"/>
        <v xml:space="preserve">    (@COURSE_PHY_2049, @COURSE_PHY_2048, 'C');</v>
      </c>
      <c r="W160" s="1" t="str">
        <f t="shared" si="20"/>
        <v xml:space="preserve">    (@COURSE_PHY_2049, @COURSE_PHY_2048L, 'C');</v>
      </c>
      <c r="AA160" s="1" t="s">
        <v>580</v>
      </c>
      <c r="AB160" s="1" t="str">
        <f t="shared" si="21"/>
        <v xml:space="preserve">    (@COURSE_PHY_2049, @COURSE_PHY_2049L),</v>
      </c>
    </row>
    <row r="161" spans="1:29" x14ac:dyDescent="0.3">
      <c r="A161" s="1" t="s">
        <v>291</v>
      </c>
      <c r="B161" s="1" t="s">
        <v>299</v>
      </c>
      <c r="C161" s="1" t="s">
        <v>300</v>
      </c>
      <c r="D161" s="1">
        <v>1</v>
      </c>
      <c r="E161" s="1" t="s">
        <v>587</v>
      </c>
      <c r="F161" s="1" t="s">
        <v>584</v>
      </c>
      <c r="G161" s="1" t="s">
        <v>588</v>
      </c>
      <c r="I161" s="1" t="str">
        <f t="shared" si="15"/>
        <v xml:space="preserve">    ('PHY', '2049L', 'General Physics II Laboratory ', 1, 'Second semester of general physics and laboratory for physics majors and engineering students.', 2000),</v>
      </c>
      <c r="K161" s="1" t="str">
        <f t="shared" si="16"/>
        <v xml:space="preserve">    @COURSE_PHY_2049L INT,</v>
      </c>
      <c r="M161" s="1" t="str">
        <f t="shared" si="17"/>
        <v>SELECT @COURSE_PHY_2049L = CourseID FROM Bellini.Course WHERE CoursePrefix = 'PHY' AND CourseNumber = '2049L';</v>
      </c>
      <c r="O161" s="1" t="s">
        <v>865</v>
      </c>
      <c r="Q161" s="1" t="s">
        <v>532</v>
      </c>
      <c r="R161" s="1" t="s">
        <v>583</v>
      </c>
      <c r="S161" s="1" t="s">
        <v>579</v>
      </c>
      <c r="U161" s="1" t="str">
        <f t="shared" si="18"/>
        <v xml:space="preserve">    (@COURSE_PHY_2049L, @COURSE_MAC_2282, 'C');</v>
      </c>
      <c r="V161" s="1" t="str">
        <f t="shared" si="19"/>
        <v xml:space="preserve">    (@COURSE_PHY_2049L, @COURSE_PHY_2048, 'C');</v>
      </c>
      <c r="W161" s="1" t="str">
        <f t="shared" si="20"/>
        <v xml:space="preserve">    (@COURSE_PHY_2049L, @COURSE_PHY_2048L, 'C');</v>
      </c>
      <c r="AA161" s="1" t="s">
        <v>584</v>
      </c>
      <c r="AB161" s="1" t="str">
        <f t="shared" si="21"/>
        <v xml:space="preserve">    (@COURSE_PHY_2049L, @COURSE_PHY_2049),</v>
      </c>
    </row>
    <row r="162" spans="1:29" x14ac:dyDescent="0.3">
      <c r="A162" s="1" t="s">
        <v>291</v>
      </c>
      <c r="B162" s="1" t="s">
        <v>335</v>
      </c>
      <c r="C162" s="1" t="s">
        <v>336</v>
      </c>
      <c r="D162" s="1">
        <v>3</v>
      </c>
      <c r="E162" s="1" t="s">
        <v>590</v>
      </c>
      <c r="F162" s="1" t="s">
        <v>581</v>
      </c>
      <c r="G162" s="1" t="s">
        <v>589</v>
      </c>
      <c r="I162" s="1" t="str">
        <f t="shared" si="15"/>
        <v xml:space="preserve">    ('PHY', '2053', 'General Physics I', 3, 'First semester of a two semester sequence of noncalculus-based general physics (mechanics, heat, wave motion, sound, electricity, magnetism, optics, modern physics) for science students.', 2000),</v>
      </c>
      <c r="K162" s="1" t="str">
        <f t="shared" si="16"/>
        <v xml:space="preserve">    @COURSE_PHY_2053  INT,</v>
      </c>
      <c r="M162" s="1" t="str">
        <f t="shared" si="17"/>
        <v>SELECT @COURSE_PHY_2053  = CourseID FROM Bellini.Course WHERE CoursePrefix = 'PHY' AND CourseNumber = '2053';</v>
      </c>
      <c r="O162" s="1" t="s">
        <v>1013</v>
      </c>
      <c r="Q162" s="1" t="s">
        <v>559</v>
      </c>
      <c r="U162" s="1" t="str">
        <f t="shared" si="18"/>
        <v xml:space="preserve">    (@COURSE_PHY_2053, @COURSE_MAC_1147, 'C');</v>
      </c>
      <c r="V162" s="1" t="str">
        <f t="shared" si="19"/>
        <v/>
      </c>
      <c r="W162" s="1" t="str">
        <f t="shared" si="20"/>
        <v/>
      </c>
      <c r="AA162" s="1" t="s">
        <v>581</v>
      </c>
      <c r="AB162" s="1" t="str">
        <f t="shared" si="21"/>
        <v xml:space="preserve">    (@COURSE_PHY_2053, @COURSE_PHY_2053L),</v>
      </c>
    </row>
    <row r="163" spans="1:29" x14ac:dyDescent="0.3">
      <c r="A163" s="1" t="s">
        <v>291</v>
      </c>
      <c r="B163" s="1" t="s">
        <v>591</v>
      </c>
      <c r="C163" s="1" t="s">
        <v>296</v>
      </c>
      <c r="D163" s="1">
        <v>1</v>
      </c>
      <c r="F163" s="1" t="s">
        <v>585</v>
      </c>
      <c r="G163" s="1" t="s">
        <v>592</v>
      </c>
      <c r="I163" s="1" t="str">
        <f t="shared" si="15"/>
        <v xml:space="preserve">    ('PHY', '2053L', 'General Physics I Laboratory ', 1, 'First semester of a two semester sequence of general physics (mechanics, heat, wave motion, sound, electricity, magnetism, optics, modern physics) laboratory for science students.', 2000),</v>
      </c>
      <c r="K163" s="1" t="str">
        <f t="shared" si="16"/>
        <v xml:space="preserve">    @COURSE_PHY_2053L INT,</v>
      </c>
      <c r="M163" s="1" t="str">
        <f t="shared" si="17"/>
        <v>SELECT @COURSE_PHY_2053L = CourseID FROM Bellini.Course WHERE CoursePrefix = 'PHY' AND CourseNumber = '2053L';</v>
      </c>
      <c r="O163" s="1" t="s">
        <v>866</v>
      </c>
      <c r="U163" s="1" t="str">
        <f t="shared" si="18"/>
        <v/>
      </c>
      <c r="V163" s="1" t="str">
        <f t="shared" si="19"/>
        <v/>
      </c>
      <c r="W163" s="1" t="str">
        <f t="shared" si="20"/>
        <v/>
      </c>
      <c r="AA163" s="1" t="s">
        <v>585</v>
      </c>
      <c r="AB163" s="1" t="str">
        <f t="shared" si="21"/>
        <v xml:space="preserve">    (@COURSE_PHY_2053L, @COURSE_PHY_2053),</v>
      </c>
    </row>
    <row r="164" spans="1:29" x14ac:dyDescent="0.3">
      <c r="A164" s="1" t="s">
        <v>291</v>
      </c>
      <c r="B164" s="1">
        <v>2060</v>
      </c>
      <c r="C164" s="1" t="s">
        <v>593</v>
      </c>
      <c r="D164" s="1">
        <v>3</v>
      </c>
      <c r="E164" s="1" t="s">
        <v>567</v>
      </c>
      <c r="F164" s="1" t="s">
        <v>579</v>
      </c>
      <c r="G164" s="1" t="s">
        <v>594</v>
      </c>
      <c r="I164" s="1" t="str">
        <f t="shared" si="15"/>
        <v xml:space="preserve">    ('PHY', '2060', 'Enriched General Physics I with Calculus', 3, 'First semester of an enriched sequence of calculus based general physics designed for physics majors and other students seeking a deeper understanding of mechanics, kinematics, conservation laws, central forces, harmonic motion, and mechanical waves.', 2000),</v>
      </c>
      <c r="K164" s="1" t="str">
        <f t="shared" si="16"/>
        <v xml:space="preserve">    @COURSE_PHY_2060  INT,</v>
      </c>
      <c r="M164" s="1" t="str">
        <f t="shared" si="17"/>
        <v>SELECT @COURSE_PHY_2060  = CourseID FROM Bellini.Course WHERE CoursePrefix = 'PHY' AND CourseNumber = '2060';</v>
      </c>
      <c r="O164" s="1" t="s">
        <v>1014</v>
      </c>
      <c r="Q164" s="1" t="s">
        <v>511</v>
      </c>
      <c r="U164" s="1" t="str">
        <f t="shared" si="18"/>
        <v xml:space="preserve">    (@COURSE_PHY_2060, @COURSE_MAC_2281, 'C');</v>
      </c>
      <c r="V164" s="1" t="str">
        <f t="shared" si="19"/>
        <v/>
      </c>
      <c r="W164" s="1" t="str">
        <f t="shared" si="20"/>
        <v/>
      </c>
      <c r="AA164" s="1" t="s">
        <v>579</v>
      </c>
      <c r="AB164" s="1" t="str">
        <f t="shared" si="21"/>
        <v xml:space="preserve">    (@COURSE_PHY_2060, @COURSE_PHY_2048L),</v>
      </c>
    </row>
    <row r="165" spans="1:29" x14ac:dyDescent="0.3">
      <c r="A165" s="1" t="s">
        <v>340</v>
      </c>
      <c r="B165" s="1" t="s">
        <v>341</v>
      </c>
      <c r="C165" s="1" t="s">
        <v>12</v>
      </c>
      <c r="D165" s="1">
        <v>3</v>
      </c>
      <c r="G165" s="1" t="s">
        <v>595</v>
      </c>
      <c r="I165" s="1" t="str">
        <f t="shared" si="15"/>
        <v xml:space="preserve">    ('POS', '2041', 'American National Government', 3, 'This course is intended to introduce students to the theory, institutions, and processes of American government and politics. In addition to learning fundamental information about the American political system, this course is designed to help students think critically about American government and politics.', 2000),</v>
      </c>
      <c r="K165" s="1" t="str">
        <f t="shared" si="16"/>
        <v xml:space="preserve">    @COURSE_POS_2041  INT,</v>
      </c>
      <c r="M165" s="1" t="str">
        <f t="shared" si="17"/>
        <v>SELECT @COURSE_POS_2041  = CourseID FROM Bellini.Course WHERE CoursePrefix = 'POS' AND CourseNumber = '2041';</v>
      </c>
      <c r="O165" s="1" t="s">
        <v>1015</v>
      </c>
      <c r="U165" s="1" t="str">
        <f t="shared" si="18"/>
        <v/>
      </c>
      <c r="V165" s="1" t="str">
        <f t="shared" si="19"/>
        <v/>
      </c>
      <c r="W165" s="1" t="str">
        <f t="shared" si="20"/>
        <v/>
      </c>
      <c r="AA165" s="1" t="s">
        <v>1291</v>
      </c>
      <c r="AB165" s="1" t="str">
        <f t="shared" si="21"/>
        <v/>
      </c>
      <c r="AC165" s="1" t="s">
        <v>1291</v>
      </c>
    </row>
    <row r="166" spans="1:29" x14ac:dyDescent="0.3">
      <c r="A166" s="1" t="s">
        <v>301</v>
      </c>
      <c r="B166" s="1" t="s">
        <v>302</v>
      </c>
      <c r="C166" s="1" t="s">
        <v>303</v>
      </c>
      <c r="D166" s="1">
        <v>3</v>
      </c>
      <c r="G166" s="1" t="s">
        <v>596</v>
      </c>
      <c r="I166" s="1" t="str">
        <f t="shared" si="15"/>
        <v xml:space="preserve">    ('PSY', '2012', 'Introduction to Psychological Science', 3, 'This course is an introduction to psychology for majors and nonmajors. It presents psychological theory and methods in a survey of various areas of psychology including clinical, cognitive, developmental, health, industrial, social and biopsychology.', 2000),</v>
      </c>
      <c r="K166" s="1" t="str">
        <f t="shared" si="16"/>
        <v xml:space="preserve">    @COURSE_PSY_2012  INT,</v>
      </c>
      <c r="M166" s="1" t="str">
        <f t="shared" si="17"/>
        <v>SELECT @COURSE_PSY_2012  = CourseID FROM Bellini.Course WHERE CoursePrefix = 'PSY' AND CourseNumber = '2012';</v>
      </c>
      <c r="O166" s="1" t="s">
        <v>1016</v>
      </c>
      <c r="U166" s="1" t="str">
        <f t="shared" si="18"/>
        <v/>
      </c>
      <c r="V166" s="1" t="str">
        <f t="shared" si="19"/>
        <v/>
      </c>
      <c r="W166" s="1" t="str">
        <f t="shared" si="20"/>
        <v/>
      </c>
      <c r="AA166" s="1" t="s">
        <v>1291</v>
      </c>
      <c r="AB166" s="1" t="str">
        <f t="shared" si="21"/>
        <v/>
      </c>
      <c r="AC166" s="1" t="s">
        <v>1291</v>
      </c>
    </row>
    <row r="167" spans="1:29" x14ac:dyDescent="0.3">
      <c r="A167" s="1" t="s">
        <v>304</v>
      </c>
      <c r="B167" s="1" t="s">
        <v>305</v>
      </c>
      <c r="C167" s="1" t="s">
        <v>306</v>
      </c>
      <c r="D167" s="1">
        <v>3</v>
      </c>
      <c r="E167" s="1" t="s">
        <v>555</v>
      </c>
      <c r="G167" s="1" t="s">
        <v>597</v>
      </c>
      <c r="I167" s="1" t="str">
        <f t="shared" si="15"/>
        <v xml:space="preserve">    ('STA', '2023', 'Introductory Statistics I', 3, 'Descriptive and Inferential Statistics; Principles of Probability Theory, Discrete and Continuous Probability Distributions: Binomial Probability Distribution, Poisson Probability Distribution, Uniform Probability Distribution, Normal Dist and more.', 2000),</v>
      </c>
      <c r="K167" s="1" t="str">
        <f t="shared" si="16"/>
        <v xml:space="preserve">    @COURSE_STA_2023  INT,</v>
      </c>
      <c r="M167" s="1" t="str">
        <f t="shared" si="17"/>
        <v>SELECT @COURSE_STA_2023  = CourseID FROM Bellini.Course WHERE CoursePrefix = 'STA' AND CourseNumber = '2023';</v>
      </c>
      <c r="O167" s="1" t="s">
        <v>1017</v>
      </c>
      <c r="Q167" s="1" t="s">
        <v>555</v>
      </c>
      <c r="U167" s="1" t="str">
        <f t="shared" si="18"/>
        <v xml:space="preserve">    (@COURSE_STA_2023, @COURSE_MAT_1033, 'C');</v>
      </c>
      <c r="V167" s="1" t="str">
        <f t="shared" si="19"/>
        <v/>
      </c>
      <c r="W167" s="1" t="str">
        <f t="shared" si="20"/>
        <v/>
      </c>
      <c r="AA167" s="1" t="s">
        <v>1291</v>
      </c>
      <c r="AB167" s="1" t="str">
        <f t="shared" si="21"/>
        <v/>
      </c>
      <c r="AC167" s="1" t="s">
        <v>1291</v>
      </c>
    </row>
    <row r="168" spans="1:29" x14ac:dyDescent="0.3">
      <c r="A168" s="1" t="s">
        <v>342</v>
      </c>
      <c r="B168" s="1" t="s">
        <v>308</v>
      </c>
      <c r="C168" s="1" t="s">
        <v>343</v>
      </c>
      <c r="D168" s="1">
        <v>3</v>
      </c>
      <c r="G168" s="1" t="s">
        <v>598</v>
      </c>
      <c r="I168" s="1" t="str">
        <f t="shared" si="15"/>
        <v xml:space="preserve">    ('SYG', '2000', 'Principles of Sociology', 3, 'This course introduces undergraduate students to the discipline of sociology. During the semester, we will analyze sociological theories, core concepts, and issues through readings, lectures, discussions, films, and hands-on research assignments.', 2000),</v>
      </c>
      <c r="K168" s="1" t="str">
        <f t="shared" si="16"/>
        <v xml:space="preserve">    @COURSE_SYG_2000  INT,</v>
      </c>
      <c r="M168" s="1" t="str">
        <f t="shared" si="17"/>
        <v>SELECT @COURSE_SYG_2000  = CourseID FROM Bellini.Course WHERE CoursePrefix = 'SYG' AND CourseNumber = '2000';</v>
      </c>
      <c r="O168" s="1" t="s">
        <v>1018</v>
      </c>
      <c r="U168" s="1" t="str">
        <f t="shared" si="18"/>
        <v/>
      </c>
      <c r="V168" s="1" t="str">
        <f t="shared" si="19"/>
        <v/>
      </c>
      <c r="W168" s="1" t="str">
        <f t="shared" si="20"/>
        <v/>
      </c>
      <c r="AA168" s="1" t="s">
        <v>1291</v>
      </c>
      <c r="AB168" s="1" t="str">
        <f t="shared" si="21"/>
        <v/>
      </c>
      <c r="AC168" s="1" t="s">
        <v>1291</v>
      </c>
    </row>
    <row r="169" spans="1:29" x14ac:dyDescent="0.3">
      <c r="A169" s="1" t="s">
        <v>318</v>
      </c>
      <c r="B169" s="1" t="s">
        <v>308</v>
      </c>
      <c r="C169" s="1" t="s">
        <v>13</v>
      </c>
      <c r="D169" s="1">
        <v>3</v>
      </c>
      <c r="G169" s="1" t="s">
        <v>599</v>
      </c>
      <c r="I169" s="1" t="str">
        <f t="shared" si="15"/>
        <v xml:space="preserve">    ('THE', '2000', 'Theater and Culture', 3, 'This course explores the contributions of theater practitioners and audiences to the performance experience, aspects of theater making and an overview of theater history.', 2000),</v>
      </c>
      <c r="K169" s="1" t="str">
        <f t="shared" si="16"/>
        <v xml:space="preserve">    @COURSE_THE_2000  INT,</v>
      </c>
      <c r="M169" s="1" t="str">
        <f t="shared" si="17"/>
        <v>SELECT @COURSE_THE_2000  = CourseID FROM Bellini.Course WHERE CoursePrefix = 'THE' AND CourseNumber = '2000';</v>
      </c>
      <c r="O169" s="1" t="s">
        <v>1019</v>
      </c>
      <c r="U169" s="1" t="str">
        <f t="shared" si="18"/>
        <v/>
      </c>
      <c r="V169" s="1" t="str">
        <f t="shared" si="19"/>
        <v/>
      </c>
      <c r="W169" s="1" t="str">
        <f t="shared" si="20"/>
        <v/>
      </c>
      <c r="AB169" s="1" t="str">
        <f t="shared" si="21"/>
        <v/>
      </c>
      <c r="AC169" s="1" t="s">
        <v>1291</v>
      </c>
    </row>
    <row r="172" spans="1:29" x14ac:dyDescent="0.3">
      <c r="Y172" s="1" t="s">
        <v>1291</v>
      </c>
    </row>
    <row r="174" spans="1:29" x14ac:dyDescent="0.3">
      <c r="Y174" s="1" t="s">
        <v>1291</v>
      </c>
    </row>
    <row r="175" spans="1:29" x14ac:dyDescent="0.3">
      <c r="Y175" s="1" t="s">
        <v>1291</v>
      </c>
    </row>
    <row r="177" spans="25:25" x14ac:dyDescent="0.3">
      <c r="Y177" s="1" t="s">
        <v>1291</v>
      </c>
    </row>
    <row r="178" spans="25:25" x14ac:dyDescent="0.3">
      <c r="Y178" s="1" t="s">
        <v>1291</v>
      </c>
    </row>
  </sheetData>
  <sortState xmlns:xlrd2="http://schemas.microsoft.com/office/spreadsheetml/2017/richdata2" ref="A3:D169">
    <sortCondition ref="A3:A169"/>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6BE203-EDCE-4D4F-AD1D-BD12B7C89990}">
  <dimension ref="A1:BF538"/>
  <sheetViews>
    <sheetView topLeftCell="A385" zoomScaleNormal="100" workbookViewId="0">
      <selection activeCell="H406" sqref="H406"/>
    </sheetView>
  </sheetViews>
  <sheetFormatPr defaultRowHeight="14.4" x14ac:dyDescent="0.3"/>
  <cols>
    <col min="1" max="1" width="47.5546875" style="3" bestFit="1" customWidth="1"/>
    <col min="2" max="2" width="20.5546875" style="3" bestFit="1" customWidth="1"/>
    <col min="3" max="3" width="8.88671875" style="3"/>
    <col min="4" max="4" width="26" style="3" hidden="1" customWidth="1"/>
    <col min="5" max="5" width="9.88671875" style="3" bestFit="1" customWidth="1"/>
    <col min="6" max="6" width="0" style="3" hidden="1" customWidth="1"/>
    <col min="7" max="16384" width="8.88671875" style="3"/>
  </cols>
  <sheetData>
    <row r="1" spans="1:9" x14ac:dyDescent="0.3">
      <c r="E1" s="3" t="s">
        <v>852</v>
      </c>
      <c r="G1" s="3" t="s">
        <v>852</v>
      </c>
      <c r="H1" s="3" t="s">
        <v>601</v>
      </c>
      <c r="I1" s="3" t="s">
        <v>602</v>
      </c>
    </row>
    <row r="3" spans="1:9" x14ac:dyDescent="0.3">
      <c r="A3" s="3" t="s">
        <v>5</v>
      </c>
      <c r="B3" s="3" t="s">
        <v>1271</v>
      </c>
      <c r="H3" s="3" t="s">
        <v>1199</v>
      </c>
    </row>
    <row r="4" spans="1:9" x14ac:dyDescent="0.3">
      <c r="A4" s="3" t="s">
        <v>821</v>
      </c>
      <c r="B4" s="3" t="s">
        <v>1272</v>
      </c>
      <c r="H4" s="3" t="s">
        <v>1200</v>
      </c>
    </row>
    <row r="5" spans="1:9" x14ac:dyDescent="0.3">
      <c r="B5" s="3" t="s">
        <v>1273</v>
      </c>
      <c r="H5" s="3" t="s">
        <v>1201</v>
      </c>
    </row>
    <row r="6" spans="1:9" x14ac:dyDescent="0.3">
      <c r="B6" s="3" t="s">
        <v>1274</v>
      </c>
      <c r="H6" s="3" t="s">
        <v>1202</v>
      </c>
    </row>
    <row r="7" spans="1:9" x14ac:dyDescent="0.3">
      <c r="B7" s="3" t="s">
        <v>1275</v>
      </c>
      <c r="H7" s="3" t="s">
        <v>1203</v>
      </c>
    </row>
    <row r="8" spans="1:9" x14ac:dyDescent="0.3">
      <c r="B8" s="3" t="s">
        <v>1276</v>
      </c>
      <c r="H8" s="3" t="s">
        <v>1204</v>
      </c>
    </row>
    <row r="9" spans="1:9" x14ac:dyDescent="0.3">
      <c r="H9" s="3" t="s">
        <v>1205</v>
      </c>
    </row>
    <row r="10" spans="1:9" x14ac:dyDescent="0.3">
      <c r="A10" s="3" t="s">
        <v>6</v>
      </c>
      <c r="B10" s="3" t="s">
        <v>1277</v>
      </c>
      <c r="H10" s="3" t="s">
        <v>1206</v>
      </c>
    </row>
    <row r="11" spans="1:9" x14ac:dyDescent="0.3">
      <c r="A11" s="3" t="s">
        <v>821</v>
      </c>
      <c r="B11" s="3" t="s">
        <v>1278</v>
      </c>
      <c r="H11" s="3" t="s">
        <v>1207</v>
      </c>
    </row>
    <row r="12" spans="1:9" x14ac:dyDescent="0.3">
      <c r="B12" s="3" t="s">
        <v>669</v>
      </c>
      <c r="H12" s="3" t="s">
        <v>1208</v>
      </c>
    </row>
    <row r="13" spans="1:9" x14ac:dyDescent="0.3">
      <c r="B13" s="3" t="s">
        <v>1279</v>
      </c>
      <c r="H13" s="3" t="s">
        <v>1209</v>
      </c>
    </row>
    <row r="14" spans="1:9" x14ac:dyDescent="0.3">
      <c r="B14" s="3" t="s">
        <v>668</v>
      </c>
      <c r="H14" s="3" t="s">
        <v>1210</v>
      </c>
    </row>
    <row r="15" spans="1:9" x14ac:dyDescent="0.3">
      <c r="B15" s="3" t="s">
        <v>1280</v>
      </c>
      <c r="H15" s="3" t="s">
        <v>1211</v>
      </c>
    </row>
    <row r="17" spans="1:8" x14ac:dyDescent="0.3">
      <c r="A17" s="3" t="s">
        <v>280</v>
      </c>
      <c r="B17" s="3" t="s">
        <v>511</v>
      </c>
      <c r="H17" s="3" t="s">
        <v>1212</v>
      </c>
    </row>
    <row r="18" spans="1:8" x14ac:dyDescent="0.3">
      <c r="A18" s="3" t="s">
        <v>836</v>
      </c>
      <c r="B18" s="3" t="s">
        <v>604</v>
      </c>
      <c r="H18" s="3" t="s">
        <v>1213</v>
      </c>
    </row>
    <row r="19" spans="1:8" x14ac:dyDescent="0.3">
      <c r="H19" s="3" t="s">
        <v>1214</v>
      </c>
    </row>
    <row r="20" spans="1:8" x14ac:dyDescent="0.3">
      <c r="A20" s="3" t="s">
        <v>282</v>
      </c>
      <c r="B20" s="3" t="s">
        <v>532</v>
      </c>
      <c r="H20" s="3" t="s">
        <v>1215</v>
      </c>
    </row>
    <row r="21" spans="1:8" x14ac:dyDescent="0.3">
      <c r="A21" s="3" t="s">
        <v>836</v>
      </c>
      <c r="B21" s="3" t="s">
        <v>605</v>
      </c>
      <c r="H21" s="3" t="s">
        <v>1216</v>
      </c>
    </row>
    <row r="22" spans="1:8" x14ac:dyDescent="0.3">
      <c r="H22" s="3" t="s">
        <v>1217</v>
      </c>
    </row>
    <row r="23" spans="1:8" x14ac:dyDescent="0.3">
      <c r="A23" s="3" t="s">
        <v>284</v>
      </c>
      <c r="B23" s="3" t="s">
        <v>606</v>
      </c>
      <c r="H23" s="3" t="s">
        <v>1218</v>
      </c>
    </row>
    <row r="24" spans="1:8" x14ac:dyDescent="0.3">
      <c r="A24" s="3" t="s">
        <v>836</v>
      </c>
      <c r="B24" s="3" t="s">
        <v>607</v>
      </c>
      <c r="H24" s="3" t="s">
        <v>1219</v>
      </c>
    </row>
    <row r="25" spans="1:8" x14ac:dyDescent="0.3">
      <c r="H25" s="3" t="s">
        <v>1220</v>
      </c>
    </row>
    <row r="26" spans="1:8" x14ac:dyDescent="0.3">
      <c r="A26" s="3" t="s">
        <v>290</v>
      </c>
      <c r="B26" s="3" t="s">
        <v>608</v>
      </c>
      <c r="H26" s="3" t="s">
        <v>1221</v>
      </c>
    </row>
    <row r="27" spans="1:8" x14ac:dyDescent="0.3">
      <c r="A27" s="3" t="s">
        <v>836</v>
      </c>
      <c r="B27" s="3" t="s">
        <v>609</v>
      </c>
      <c r="H27" s="3" t="s">
        <v>1222</v>
      </c>
    </row>
    <row r="28" spans="1:8" x14ac:dyDescent="0.3">
      <c r="H28" s="3" t="s">
        <v>1223</v>
      </c>
    </row>
    <row r="29" spans="1:8" x14ac:dyDescent="0.3">
      <c r="A29" s="3" t="s">
        <v>1020</v>
      </c>
      <c r="B29" s="3" t="s">
        <v>406</v>
      </c>
      <c r="H29" s="3" t="s">
        <v>1224</v>
      </c>
    </row>
    <row r="30" spans="1:8" x14ac:dyDescent="0.3">
      <c r="A30" s="3" t="s">
        <v>836</v>
      </c>
      <c r="B30" s="3" t="s">
        <v>407</v>
      </c>
    </row>
    <row r="31" spans="1:8" x14ac:dyDescent="0.3">
      <c r="H31" s="3" t="s">
        <v>1225</v>
      </c>
    </row>
    <row r="32" spans="1:8" x14ac:dyDescent="0.3">
      <c r="A32" s="3" t="s">
        <v>1021</v>
      </c>
      <c r="B32" s="3" t="s">
        <v>610</v>
      </c>
      <c r="H32" s="3" t="s">
        <v>1226</v>
      </c>
    </row>
    <row r="33" spans="1:8" x14ac:dyDescent="0.3">
      <c r="A33" s="3" t="s">
        <v>836</v>
      </c>
      <c r="B33" s="3" t="s">
        <v>611</v>
      </c>
      <c r="H33" s="3" t="s">
        <v>1227</v>
      </c>
    </row>
    <row r="34" spans="1:8" x14ac:dyDescent="0.3">
      <c r="H34" s="3" t="s">
        <v>1228</v>
      </c>
    </row>
    <row r="35" spans="1:8" x14ac:dyDescent="0.3">
      <c r="A35" s="3" t="s">
        <v>1029</v>
      </c>
      <c r="B35" s="1" t="s">
        <v>484</v>
      </c>
      <c r="D35" s="3" t="str">
        <f>"    (@MAJOR_BSCP, @COURSE_" &amp; MID(B35, 1, 3) &amp; "_" &amp; MID(B35, 5, 5) &amp; IF(ISERROR(FIND("L", B35, 5)), ",  ", ", ") &amp; "@CATALOG_2022_2023, 'BSCP Core', 'C'),"</f>
        <v xml:space="preserve">    (@MAJOR_BSCP, @COURSE_CDA_3103,  @CATALOG_2022_2023, 'BSCP Core', 'C'),</v>
      </c>
      <c r="E35" s="3" t="s">
        <v>852</v>
      </c>
      <c r="F35" s="3" t="s">
        <v>1050</v>
      </c>
      <c r="H35" s="3" t="s">
        <v>1229</v>
      </c>
    </row>
    <row r="36" spans="1:8" x14ac:dyDescent="0.3">
      <c r="B36" s="1" t="s">
        <v>374</v>
      </c>
      <c r="D36" s="3" t="str">
        <f t="shared" ref="D36:D65" si="0">"    (@MAJOR_BSCP, @COURSE_" &amp; MID(B36, 1, 3) &amp; "_" &amp; MID(B36, 5, 5) &amp; IF(ISERROR(FIND("L", B36, 5)), ",  ", ", ") &amp; "@CATALOG_2022_2023, 'BSCP Core', 'C'),"</f>
        <v xml:space="preserve">    (@MAJOR_BSCP, @COURSE_CDA_3201,  @CATALOG_2022_2023, 'BSCP Core', 'C'),</v>
      </c>
      <c r="E36" s="3" t="s">
        <v>852</v>
      </c>
      <c r="F36" s="3" t="s">
        <v>1051</v>
      </c>
      <c r="H36" s="3" t="s">
        <v>1230</v>
      </c>
    </row>
    <row r="37" spans="1:8" x14ac:dyDescent="0.3">
      <c r="B37" s="1" t="s">
        <v>390</v>
      </c>
      <c r="D37" s="3" t="str">
        <f t="shared" si="0"/>
        <v xml:space="preserve">    (@MAJOR_BSCP, @COURSE_CDA_3201L, @CATALOG_2022_2023, 'BSCP Core', 'C'),</v>
      </c>
      <c r="F37" s="3" t="s">
        <v>1052</v>
      </c>
      <c r="H37" s="3" t="s">
        <v>1231</v>
      </c>
    </row>
    <row r="38" spans="1:8" x14ac:dyDescent="0.3">
      <c r="B38" s="1" t="s">
        <v>392</v>
      </c>
      <c r="D38" s="3" t="str">
        <f t="shared" si="0"/>
        <v xml:space="preserve">    (@MAJOR_BSCP, @COURSE_CDA_4203,  @CATALOG_2022_2023, 'BSCP Core', 'C'),</v>
      </c>
      <c r="F38" s="3" t="s">
        <v>1053</v>
      </c>
      <c r="H38" s="3" t="s">
        <v>1232</v>
      </c>
    </row>
    <row r="39" spans="1:8" x14ac:dyDescent="0.3">
      <c r="B39" s="1" t="s">
        <v>621</v>
      </c>
      <c r="D39" s="3" t="str">
        <f t="shared" si="0"/>
        <v xml:space="preserve">    (@MAJOR_BSCP, @COURSE_CDA_4203L, @CATALOG_2022_2023, 'BSCP Core', 'C'),</v>
      </c>
      <c r="F39" s="3" t="s">
        <v>1054</v>
      </c>
      <c r="H39" s="3" t="s">
        <v>1233</v>
      </c>
    </row>
    <row r="40" spans="1:8" x14ac:dyDescent="0.3">
      <c r="B40" s="1" t="s">
        <v>393</v>
      </c>
      <c r="D40" s="3" t="str">
        <f t="shared" si="0"/>
        <v xml:space="preserve">    (@MAJOR_BSCP, @COURSE_CDA_4205,  @CATALOG_2022_2023, 'BSCP Core', 'C'),</v>
      </c>
      <c r="F40" s="3" t="s">
        <v>1055</v>
      </c>
    </row>
    <row r="41" spans="1:8" x14ac:dyDescent="0.3">
      <c r="B41" s="1" t="s">
        <v>622</v>
      </c>
      <c r="D41" s="3" t="str">
        <f t="shared" si="0"/>
        <v xml:space="preserve">    (@MAJOR_BSCP, @COURSE_CDA_4205L, @CATALOG_2022_2023, 'BSCP Core', 'C'),</v>
      </c>
      <c r="F41" s="3" t="s">
        <v>1056</v>
      </c>
      <c r="H41" s="3" t="s">
        <v>1234</v>
      </c>
    </row>
    <row r="42" spans="1:8" x14ac:dyDescent="0.3">
      <c r="B42" s="1" t="s">
        <v>394</v>
      </c>
      <c r="D42" s="3" t="str">
        <f t="shared" si="0"/>
        <v xml:space="preserve">    (@MAJOR_BSCP, @COURSE_CDA_4213,  @CATALOG_2022_2023, 'BSCP Core', 'C'),</v>
      </c>
      <c r="F42" s="3" t="s">
        <v>1057</v>
      </c>
      <c r="H42" s="3" t="s">
        <v>1235</v>
      </c>
    </row>
    <row r="43" spans="1:8" x14ac:dyDescent="0.3">
      <c r="B43" s="1" t="s">
        <v>623</v>
      </c>
      <c r="D43" s="3" t="str">
        <f t="shared" si="0"/>
        <v xml:space="preserve">    (@MAJOR_BSCP, @COURSE_CDA_4213L, @CATALOG_2022_2023, 'BSCP Core', 'C'),</v>
      </c>
      <c r="F43" s="3" t="s">
        <v>1058</v>
      </c>
      <c r="H43" s="3" t="s">
        <v>1236</v>
      </c>
    </row>
    <row r="44" spans="1:8" x14ac:dyDescent="0.3">
      <c r="B44" s="1" t="s">
        <v>625</v>
      </c>
      <c r="D44" s="3" t="str">
        <f t="shared" si="0"/>
        <v xml:space="preserve">    (@MAJOR_BSCP, @COURSE_CIS_4250,  @CATALOG_2022_2023, 'BSCP Core', 'C'),</v>
      </c>
      <c r="F44" s="3" t="s">
        <v>1059</v>
      </c>
      <c r="H44" s="3" t="s">
        <v>1237</v>
      </c>
    </row>
    <row r="45" spans="1:8" x14ac:dyDescent="0.3">
      <c r="B45" s="1" t="s">
        <v>626</v>
      </c>
      <c r="D45" s="3" t="str">
        <f t="shared" si="0"/>
        <v xml:space="preserve">    (@MAJOR_BSCP, @COURSE_CIS_4910,  @CATALOG_2022_2023, 'BSCP Core', 'C'),</v>
      </c>
      <c r="F45" s="3" t="s">
        <v>1060</v>
      </c>
      <c r="H45" s="3" t="s">
        <v>1238</v>
      </c>
    </row>
    <row r="46" spans="1:8" x14ac:dyDescent="0.3">
      <c r="B46" s="1" t="s">
        <v>387</v>
      </c>
      <c r="D46" s="3" t="str">
        <f t="shared" si="0"/>
        <v xml:space="preserve">    (@MAJOR_BSCP, @COURSE_COP_2510,  @CATALOG_2022_2023, 'BSCP Core', 'C'),</v>
      </c>
      <c r="F46" s="3" t="s">
        <v>1061</v>
      </c>
      <c r="H46" s="3" t="s">
        <v>1239</v>
      </c>
    </row>
    <row r="47" spans="1:8" x14ac:dyDescent="0.3">
      <c r="B47" s="1" t="s">
        <v>365</v>
      </c>
      <c r="D47" s="3" t="str">
        <f t="shared" si="0"/>
        <v xml:space="preserve">    (@MAJOR_BSCP, @COURSE_COP_3514,  @CATALOG_2022_2023, 'BSCP Core', 'C'),</v>
      </c>
      <c r="F47" s="3" t="s">
        <v>1062</v>
      </c>
      <c r="H47" s="3" t="s">
        <v>1240</v>
      </c>
    </row>
    <row r="48" spans="1:8" x14ac:dyDescent="0.3">
      <c r="B48" s="1" t="s">
        <v>366</v>
      </c>
      <c r="D48" s="3" t="str">
        <f t="shared" si="0"/>
        <v xml:space="preserve">    (@MAJOR_BSCP, @COURSE_COP_4530,  @CATALOG_2022_2023, 'BSCP Core', 'C'),</v>
      </c>
      <c r="F48" s="3" t="s">
        <v>1063</v>
      </c>
      <c r="H48" s="3" t="s">
        <v>1241</v>
      </c>
    </row>
    <row r="49" spans="2:8" x14ac:dyDescent="0.3">
      <c r="B49" s="1" t="s">
        <v>449</v>
      </c>
      <c r="D49" s="3" t="str">
        <f t="shared" si="0"/>
        <v xml:space="preserve">    (@MAJOR_BSCP, @COURSE_COP_4600,  @CATALOG_2022_2023, 'BSCP Core', 'C'),</v>
      </c>
      <c r="F49" s="3" t="s">
        <v>1064</v>
      </c>
      <c r="H49" s="3" t="s">
        <v>1242</v>
      </c>
    </row>
    <row r="50" spans="2:8" x14ac:dyDescent="0.3">
      <c r="B50" s="1" t="s">
        <v>471</v>
      </c>
      <c r="D50" s="3" t="str">
        <f t="shared" si="0"/>
        <v xml:space="preserve">    (@MAJOR_BSCP, @COURSE_COT_3100,  @CATALOG_2022_2023, 'BSCP Core', 'C'),</v>
      </c>
      <c r="F50" s="3" t="s">
        <v>1065</v>
      </c>
      <c r="H50" s="3" t="s">
        <v>1243</v>
      </c>
    </row>
    <row r="51" spans="2:8" x14ac:dyDescent="0.3">
      <c r="B51" s="1" t="s">
        <v>624</v>
      </c>
      <c r="D51" s="3" t="str">
        <f t="shared" si="0"/>
        <v xml:space="preserve">    (@MAJOR_BSCP, @COURSE_COT_4400,  @CATALOG_2022_2023, 'BSCP Core', 'C'),</v>
      </c>
      <c r="F51" s="3" t="s">
        <v>1066</v>
      </c>
      <c r="H51" s="3" t="s">
        <v>1244</v>
      </c>
    </row>
    <row r="52" spans="2:8" x14ac:dyDescent="0.3">
      <c r="B52" s="1" t="s">
        <v>619</v>
      </c>
      <c r="D52" s="3" t="str">
        <f t="shared" si="0"/>
        <v xml:space="preserve">    (@MAJOR_BSCP, @COURSE_EEE_3394,  @CATALOG_2022_2023, 'BSCP Core', 'C'),</v>
      </c>
      <c r="F52" s="3" t="s">
        <v>1067</v>
      </c>
    </row>
    <row r="53" spans="2:8" x14ac:dyDescent="0.3">
      <c r="B53" s="1" t="s">
        <v>614</v>
      </c>
      <c r="D53" s="3" t="str">
        <f t="shared" si="0"/>
        <v xml:space="preserve">    (@MAJOR_BSCP, @COURSE_EGN_3000,  @CATALOG_2022_2023, 'BSCP Core', 'C'),</v>
      </c>
      <c r="F53" s="3" t="s">
        <v>1068</v>
      </c>
      <c r="H53" s="3" t="s">
        <v>1245</v>
      </c>
    </row>
    <row r="54" spans="2:8" x14ac:dyDescent="0.3">
      <c r="B54" s="1" t="s">
        <v>613</v>
      </c>
      <c r="D54" s="3" t="str">
        <f t="shared" si="0"/>
        <v xml:space="preserve">    (@MAJOR_BSCP, @COURSE_EGN_3000L, @CATALOG_2022_2023, 'BSCP Core', 'C'),</v>
      </c>
      <c r="F54" s="3" t="s">
        <v>1069</v>
      </c>
      <c r="H54" s="3" t="s">
        <v>1246</v>
      </c>
    </row>
    <row r="55" spans="2:8" x14ac:dyDescent="0.3">
      <c r="B55" s="1" t="s">
        <v>615</v>
      </c>
      <c r="D55" s="3" t="str">
        <f t="shared" si="0"/>
        <v xml:space="preserve">    (@MAJOR_BSCP, @COURSE_EGN_3373,  @CATALOG_2022_2023, 'BSCP Core', 'C'),</v>
      </c>
      <c r="F55" s="3" t="s">
        <v>1070</v>
      </c>
      <c r="H55" s="3" t="s">
        <v>1247</v>
      </c>
    </row>
    <row r="56" spans="2:8" x14ac:dyDescent="0.3">
      <c r="B56" s="1" t="s">
        <v>616</v>
      </c>
      <c r="D56" s="3" t="str">
        <f t="shared" si="0"/>
        <v xml:space="preserve">    (@MAJOR_BSCP, @COURSE_EGN_3443,  @CATALOG_2022_2023, 'BSCP Core', 'C'),</v>
      </c>
      <c r="F56" s="3" t="s">
        <v>1071</v>
      </c>
      <c r="H56" s="3" t="s">
        <v>1248</v>
      </c>
    </row>
    <row r="57" spans="2:8" x14ac:dyDescent="0.3">
      <c r="B57" s="1" t="s">
        <v>617</v>
      </c>
      <c r="D57" s="3" t="str">
        <f t="shared" si="0"/>
        <v xml:space="preserve">    (@MAJOR_BSCP, @COURSE_EGN_3615,  @CATALOG_2022_2023, 'BSCP Core', 'C'),</v>
      </c>
      <c r="F57" s="3" t="s">
        <v>1072</v>
      </c>
      <c r="H57" s="3" t="s">
        <v>1249</v>
      </c>
    </row>
    <row r="58" spans="2:8" x14ac:dyDescent="0.3">
      <c r="B58" s="1" t="s">
        <v>618</v>
      </c>
      <c r="D58" s="3" t="str">
        <f t="shared" si="0"/>
        <v xml:space="preserve">    (@MAJOR_BSCP, @COURSE_EGN_4450,  @CATALOG_2022_2023, 'BSCP Core', 'C'),</v>
      </c>
      <c r="F58" s="3" t="s">
        <v>1073</v>
      </c>
      <c r="H58" s="3" t="s">
        <v>1250</v>
      </c>
    </row>
    <row r="59" spans="2:8" x14ac:dyDescent="0.3">
      <c r="B59" s="1" t="s">
        <v>7</v>
      </c>
      <c r="D59" s="3" t="str">
        <f t="shared" si="0"/>
        <v xml:space="preserve">    (@MAJOR_BSCP, @COURSE_ENC_1101,  @CATALOG_2022_2023, 'BSCP Core', 'C'),</v>
      </c>
      <c r="F59" s="3" t="s">
        <v>1074</v>
      </c>
    </row>
    <row r="60" spans="2:8" x14ac:dyDescent="0.3">
      <c r="B60" s="1" t="s">
        <v>538</v>
      </c>
      <c r="D60" s="3" t="str">
        <f t="shared" si="0"/>
        <v xml:space="preserve">    (@MAJOR_BSCP, @COURSE_ENC_1102,  @CATALOG_2022_2023, 'BSCP Core', 'C'),</v>
      </c>
      <c r="F60" s="3" t="s">
        <v>1075</v>
      </c>
      <c r="H60" s="3" t="s">
        <v>1251</v>
      </c>
    </row>
    <row r="61" spans="2:8" x14ac:dyDescent="0.3">
      <c r="B61" s="1" t="s">
        <v>628</v>
      </c>
      <c r="D61" s="3" t="str">
        <f t="shared" si="0"/>
        <v xml:space="preserve">    (@MAJOR_BSCP, @COURSE_ENC_3246,  @CATALOG_2022_2023, 'BSCP Core', 'C'),</v>
      </c>
      <c r="F61" s="3" t="s">
        <v>1076</v>
      </c>
      <c r="H61" s="3" t="s">
        <v>1252</v>
      </c>
    </row>
    <row r="62" spans="2:8" x14ac:dyDescent="0.3">
      <c r="B62" s="1" t="s">
        <v>583</v>
      </c>
      <c r="D62" s="3" t="str">
        <f t="shared" si="0"/>
        <v xml:space="preserve">    (@MAJOR_BSCP, @COURSE_PHY_2048,  @CATALOG_2022_2023, 'BSCP Core', 'C'),</v>
      </c>
      <c r="F62" s="3" t="s">
        <v>1077</v>
      </c>
      <c r="H62" s="3" t="s">
        <v>1253</v>
      </c>
    </row>
    <row r="63" spans="2:8" x14ac:dyDescent="0.3">
      <c r="B63" s="1" t="s">
        <v>579</v>
      </c>
      <c r="D63" s="3" t="str">
        <f t="shared" si="0"/>
        <v xml:space="preserve">    (@MAJOR_BSCP, @COURSE_PHY_2048L, @CATALOG_2022_2023, 'BSCP Core', 'C'),</v>
      </c>
      <c r="F63" s="3" t="s">
        <v>1078</v>
      </c>
      <c r="H63" s="3" t="s">
        <v>1254</v>
      </c>
    </row>
    <row r="64" spans="2:8" x14ac:dyDescent="0.3">
      <c r="B64" s="1" t="s">
        <v>584</v>
      </c>
      <c r="D64" s="3" t="str">
        <f t="shared" si="0"/>
        <v xml:space="preserve">    (@MAJOR_BSCP, @COURSE_PHY_2049,  @CATALOG_2022_2023, 'BSCP Core', 'C'),</v>
      </c>
      <c r="F64" s="3" t="s">
        <v>1079</v>
      </c>
      <c r="H64" s="3" t="s">
        <v>1255</v>
      </c>
    </row>
    <row r="65" spans="1:8" x14ac:dyDescent="0.3">
      <c r="B65" s="1" t="s">
        <v>580</v>
      </c>
      <c r="D65" s="3" t="str">
        <f t="shared" si="0"/>
        <v xml:space="preserve">    (@MAJOR_BSCP, @COURSE_PHY_2049L, @CATALOG_2022_2023, 'BSCP Core', 'C'),</v>
      </c>
      <c r="F65" s="3" t="s">
        <v>1080</v>
      </c>
      <c r="H65" s="3" t="s">
        <v>1256</v>
      </c>
    </row>
    <row r="67" spans="1:8" x14ac:dyDescent="0.3">
      <c r="A67" s="3" t="s">
        <v>1030</v>
      </c>
      <c r="B67" s="1" t="s">
        <v>650</v>
      </c>
      <c r="H67" s="3" t="s">
        <v>1257</v>
      </c>
    </row>
    <row r="68" spans="1:8" x14ac:dyDescent="0.3">
      <c r="A68" s="1" t="s">
        <v>821</v>
      </c>
      <c r="B68" s="1" t="s">
        <v>651</v>
      </c>
      <c r="H68" s="3" t="s">
        <v>1258</v>
      </c>
    </row>
    <row r="69" spans="1:8" x14ac:dyDescent="0.3">
      <c r="A69" s="1"/>
      <c r="B69" s="1" t="s">
        <v>652</v>
      </c>
      <c r="H69" s="3" t="s">
        <v>1259</v>
      </c>
    </row>
    <row r="70" spans="1:8" x14ac:dyDescent="0.3">
      <c r="H70" s="3" t="s">
        <v>1260</v>
      </c>
    </row>
    <row r="71" spans="1:8" x14ac:dyDescent="0.3">
      <c r="A71" s="1" t="s">
        <v>1038</v>
      </c>
      <c r="B71" s="1" t="s">
        <v>650</v>
      </c>
      <c r="H71" s="3" t="s">
        <v>1261</v>
      </c>
    </row>
    <row r="72" spans="1:8" x14ac:dyDescent="0.3">
      <c r="A72" s="1" t="s">
        <v>821</v>
      </c>
      <c r="B72" s="1" t="s">
        <v>820</v>
      </c>
      <c r="H72" s="3" t="s">
        <v>1262</v>
      </c>
    </row>
    <row r="73" spans="1:8" x14ac:dyDescent="0.3">
      <c r="A73" s="1"/>
      <c r="B73" s="1" t="s">
        <v>651</v>
      </c>
      <c r="H73" s="3" t="s">
        <v>1263</v>
      </c>
    </row>
    <row r="74" spans="1:8" x14ac:dyDescent="0.3">
      <c r="A74" s="1"/>
      <c r="B74" s="1" t="s">
        <v>652</v>
      </c>
    </row>
    <row r="75" spans="1:8" x14ac:dyDescent="0.3">
      <c r="H75" s="3" t="s">
        <v>1264</v>
      </c>
    </row>
    <row r="76" spans="1:8" x14ac:dyDescent="0.3">
      <c r="A76" s="1" t="s">
        <v>1031</v>
      </c>
      <c r="B76" s="1" t="s">
        <v>630</v>
      </c>
      <c r="H76" s="3" t="s">
        <v>1265</v>
      </c>
    </row>
    <row r="77" spans="1:8" x14ac:dyDescent="0.3">
      <c r="A77" s="1" t="s">
        <v>821</v>
      </c>
      <c r="B77" s="1" t="s">
        <v>631</v>
      </c>
      <c r="H77" s="3" t="s">
        <v>1266</v>
      </c>
    </row>
    <row r="78" spans="1:8" x14ac:dyDescent="0.3">
      <c r="A78" s="1"/>
      <c r="B78" s="1" t="s">
        <v>632</v>
      </c>
      <c r="H78" s="3" t="s">
        <v>1267</v>
      </c>
    </row>
    <row r="79" spans="1:8" x14ac:dyDescent="0.3">
      <c r="A79" s="1"/>
      <c r="B79" s="1" t="s">
        <v>633</v>
      </c>
      <c r="H79" s="3" t="s">
        <v>1268</v>
      </c>
    </row>
    <row r="80" spans="1:8" x14ac:dyDescent="0.3">
      <c r="A80" s="1"/>
      <c r="B80" s="1" t="s">
        <v>634</v>
      </c>
      <c r="H80" s="3" t="s">
        <v>1269</v>
      </c>
    </row>
    <row r="81" spans="1:8" x14ac:dyDescent="0.3">
      <c r="A81" s="1"/>
      <c r="B81" s="1" t="s">
        <v>635</v>
      </c>
      <c r="H81" s="3" t="s">
        <v>1270</v>
      </c>
    </row>
    <row r="82" spans="1:8" x14ac:dyDescent="0.3">
      <c r="A82" s="1"/>
      <c r="B82" s="1" t="s">
        <v>650</v>
      </c>
    </row>
    <row r="83" spans="1:8" x14ac:dyDescent="0.3">
      <c r="A83" s="1"/>
      <c r="B83" s="1" t="s">
        <v>651</v>
      </c>
    </row>
    <row r="84" spans="1:8" x14ac:dyDescent="0.3">
      <c r="A84" s="1"/>
      <c r="B84" s="1" t="s">
        <v>652</v>
      </c>
    </row>
    <row r="85" spans="1:8" x14ac:dyDescent="0.3">
      <c r="A85" s="1"/>
      <c r="B85" s="1" t="s">
        <v>636</v>
      </c>
    </row>
    <row r="86" spans="1:8" x14ac:dyDescent="0.3">
      <c r="A86" s="1"/>
      <c r="B86" s="1" t="s">
        <v>637</v>
      </c>
    </row>
    <row r="87" spans="1:8" x14ac:dyDescent="0.3">
      <c r="A87" s="1"/>
      <c r="B87" s="1" t="s">
        <v>655</v>
      </c>
    </row>
    <row r="88" spans="1:8" x14ac:dyDescent="0.3">
      <c r="A88" s="1"/>
      <c r="B88" s="1" t="s">
        <v>656</v>
      </c>
    </row>
    <row r="89" spans="1:8" x14ac:dyDescent="0.3">
      <c r="A89" s="1"/>
      <c r="B89" s="1" t="s">
        <v>638</v>
      </c>
    </row>
    <row r="90" spans="1:8" x14ac:dyDescent="0.3">
      <c r="A90" s="1"/>
      <c r="B90" s="1" t="s">
        <v>657</v>
      </c>
    </row>
    <row r="91" spans="1:8" x14ac:dyDescent="0.3">
      <c r="A91" s="1"/>
      <c r="B91" s="1" t="s">
        <v>658</v>
      </c>
    </row>
    <row r="92" spans="1:8" x14ac:dyDescent="0.3">
      <c r="A92" s="1"/>
      <c r="B92" s="1" t="s">
        <v>659</v>
      </c>
    </row>
    <row r="93" spans="1:8" x14ac:dyDescent="0.3">
      <c r="A93" s="1"/>
      <c r="B93" s="1" t="s">
        <v>660</v>
      </c>
    </row>
    <row r="94" spans="1:8" x14ac:dyDescent="0.3">
      <c r="A94" s="1"/>
      <c r="B94" s="1" t="s">
        <v>639</v>
      </c>
    </row>
    <row r="95" spans="1:8" x14ac:dyDescent="0.3">
      <c r="A95" s="1"/>
      <c r="B95" s="1" t="s">
        <v>640</v>
      </c>
    </row>
    <row r="96" spans="1:8" x14ac:dyDescent="0.3">
      <c r="A96" s="1"/>
      <c r="B96" s="1" t="s">
        <v>641</v>
      </c>
    </row>
    <row r="97" spans="1:2" x14ac:dyDescent="0.3">
      <c r="A97" s="1"/>
      <c r="B97" s="1" t="s">
        <v>642</v>
      </c>
    </row>
    <row r="98" spans="1:2" x14ac:dyDescent="0.3">
      <c r="A98" s="1"/>
      <c r="B98" s="1" t="s">
        <v>643</v>
      </c>
    </row>
    <row r="99" spans="1:2" x14ac:dyDescent="0.3">
      <c r="A99" s="1"/>
      <c r="B99" s="1" t="s">
        <v>644</v>
      </c>
    </row>
    <row r="100" spans="1:2" x14ac:dyDescent="0.3">
      <c r="A100" s="1"/>
      <c r="B100" s="1" t="s">
        <v>645</v>
      </c>
    </row>
    <row r="101" spans="1:2" x14ac:dyDescent="0.3">
      <c r="A101" s="1"/>
      <c r="B101" s="1" t="s">
        <v>646</v>
      </c>
    </row>
    <row r="102" spans="1:2" x14ac:dyDescent="0.3">
      <c r="A102" s="1"/>
      <c r="B102" s="1" t="s">
        <v>647</v>
      </c>
    </row>
    <row r="103" spans="1:2" x14ac:dyDescent="0.3">
      <c r="A103" s="1"/>
      <c r="B103" s="1" t="s">
        <v>648</v>
      </c>
    </row>
    <row r="104" spans="1:2" x14ac:dyDescent="0.3">
      <c r="A104" s="1"/>
      <c r="B104" s="1" t="s">
        <v>653</v>
      </c>
    </row>
    <row r="105" spans="1:2" x14ac:dyDescent="0.3">
      <c r="A105" s="1"/>
      <c r="B105" s="1" t="s">
        <v>654</v>
      </c>
    </row>
    <row r="107" spans="1:2" x14ac:dyDescent="0.3">
      <c r="A107" s="1" t="s">
        <v>1039</v>
      </c>
      <c r="B107" s="1" t="s">
        <v>630</v>
      </c>
    </row>
    <row r="108" spans="1:2" x14ac:dyDescent="0.3">
      <c r="A108" s="1" t="s">
        <v>821</v>
      </c>
      <c r="B108" s="1" t="s">
        <v>822</v>
      </c>
    </row>
    <row r="109" spans="1:2" x14ac:dyDescent="0.3">
      <c r="A109" s="1"/>
      <c r="B109" s="1" t="s">
        <v>632</v>
      </c>
    </row>
    <row r="110" spans="1:2" x14ac:dyDescent="0.3">
      <c r="A110" s="1"/>
      <c r="B110" s="1" t="s">
        <v>823</v>
      </c>
    </row>
    <row r="111" spans="1:2" x14ac:dyDescent="0.3">
      <c r="A111" s="1"/>
      <c r="B111" s="1" t="s">
        <v>633</v>
      </c>
    </row>
    <row r="112" spans="1:2" x14ac:dyDescent="0.3">
      <c r="A112" s="1"/>
      <c r="B112" s="1" t="s">
        <v>634</v>
      </c>
    </row>
    <row r="113" spans="1:2" x14ac:dyDescent="0.3">
      <c r="A113" s="1"/>
      <c r="B113" s="1" t="s">
        <v>824</v>
      </c>
    </row>
    <row r="114" spans="1:2" x14ac:dyDescent="0.3">
      <c r="A114" s="1"/>
      <c r="B114" s="1" t="s">
        <v>825</v>
      </c>
    </row>
    <row r="115" spans="1:2" x14ac:dyDescent="0.3">
      <c r="A115" s="1"/>
      <c r="B115" s="1" t="s">
        <v>826</v>
      </c>
    </row>
    <row r="116" spans="1:2" x14ac:dyDescent="0.3">
      <c r="A116" s="1"/>
      <c r="B116" s="1" t="s">
        <v>635</v>
      </c>
    </row>
    <row r="117" spans="1:2" x14ac:dyDescent="0.3">
      <c r="A117" s="1"/>
      <c r="B117" s="1" t="s">
        <v>827</v>
      </c>
    </row>
    <row r="118" spans="1:2" x14ac:dyDescent="0.3">
      <c r="A118" s="1"/>
      <c r="B118" s="1" t="s">
        <v>650</v>
      </c>
    </row>
    <row r="119" spans="1:2" x14ac:dyDescent="0.3">
      <c r="A119" s="1"/>
      <c r="B119" s="1" t="s">
        <v>820</v>
      </c>
    </row>
    <row r="120" spans="1:2" x14ac:dyDescent="0.3">
      <c r="A120" s="1"/>
      <c r="B120" s="1" t="s">
        <v>651</v>
      </c>
    </row>
    <row r="121" spans="1:2" x14ac:dyDescent="0.3">
      <c r="A121" s="1"/>
      <c r="B121" s="1" t="s">
        <v>828</v>
      </c>
    </row>
    <row r="122" spans="1:2" x14ac:dyDescent="0.3">
      <c r="A122" s="1"/>
      <c r="B122" s="1" t="s">
        <v>652</v>
      </c>
    </row>
    <row r="123" spans="1:2" x14ac:dyDescent="0.3">
      <c r="A123" s="1"/>
      <c r="B123" s="1" t="s">
        <v>636</v>
      </c>
    </row>
    <row r="124" spans="1:2" x14ac:dyDescent="0.3">
      <c r="A124" s="1"/>
      <c r="B124" s="1" t="s">
        <v>637</v>
      </c>
    </row>
    <row r="125" spans="1:2" x14ac:dyDescent="0.3">
      <c r="A125" s="1"/>
      <c r="B125" s="1" t="s">
        <v>655</v>
      </c>
    </row>
    <row r="126" spans="1:2" x14ac:dyDescent="0.3">
      <c r="A126" s="1"/>
      <c r="B126" s="1" t="s">
        <v>656</v>
      </c>
    </row>
    <row r="127" spans="1:2" x14ac:dyDescent="0.3">
      <c r="A127" s="1"/>
      <c r="B127" s="1" t="s">
        <v>658</v>
      </c>
    </row>
    <row r="128" spans="1:2" x14ac:dyDescent="0.3">
      <c r="A128" s="1"/>
      <c r="B128" s="1" t="s">
        <v>659</v>
      </c>
    </row>
    <row r="129" spans="1:6" x14ac:dyDescent="0.3">
      <c r="A129" s="1"/>
      <c r="B129" s="1" t="s">
        <v>829</v>
      </c>
    </row>
    <row r="130" spans="1:6" x14ac:dyDescent="0.3">
      <c r="A130" s="1"/>
      <c r="B130" s="1" t="s">
        <v>660</v>
      </c>
    </row>
    <row r="131" spans="1:6" x14ac:dyDescent="0.3">
      <c r="A131" s="1"/>
      <c r="B131" s="1" t="s">
        <v>639</v>
      </c>
    </row>
    <row r="132" spans="1:6" x14ac:dyDescent="0.3">
      <c r="A132" s="1"/>
      <c r="B132" s="1" t="s">
        <v>640</v>
      </c>
    </row>
    <row r="133" spans="1:6" x14ac:dyDescent="0.3">
      <c r="A133" s="1"/>
      <c r="B133" s="1" t="s">
        <v>641</v>
      </c>
    </row>
    <row r="134" spans="1:6" x14ac:dyDescent="0.3">
      <c r="A134" s="1"/>
      <c r="B134" s="1" t="s">
        <v>643</v>
      </c>
    </row>
    <row r="135" spans="1:6" x14ac:dyDescent="0.3">
      <c r="A135" s="1"/>
      <c r="B135" s="1" t="s">
        <v>644</v>
      </c>
    </row>
    <row r="136" spans="1:6" x14ac:dyDescent="0.3">
      <c r="A136" s="1"/>
      <c r="B136" s="1" t="s">
        <v>645</v>
      </c>
    </row>
    <row r="137" spans="1:6" x14ac:dyDescent="0.3">
      <c r="A137" s="1"/>
      <c r="B137" s="1" t="s">
        <v>646</v>
      </c>
    </row>
    <row r="138" spans="1:6" x14ac:dyDescent="0.3">
      <c r="A138" s="1"/>
      <c r="B138" s="1" t="s">
        <v>647</v>
      </c>
    </row>
    <row r="139" spans="1:6" x14ac:dyDescent="0.3">
      <c r="A139" s="1"/>
      <c r="B139" s="1" t="s">
        <v>648</v>
      </c>
    </row>
    <row r="140" spans="1:6" x14ac:dyDescent="0.3">
      <c r="A140" s="1"/>
      <c r="B140" s="1" t="s">
        <v>653</v>
      </c>
    </row>
    <row r="141" spans="1:6" x14ac:dyDescent="0.3">
      <c r="A141" s="1"/>
      <c r="B141" s="1" t="s">
        <v>654</v>
      </c>
    </row>
    <row r="142" spans="1:6" x14ac:dyDescent="0.3">
      <c r="A142" s="1"/>
      <c r="B142" s="1" t="s">
        <v>830</v>
      </c>
    </row>
    <row r="144" spans="1:6" x14ac:dyDescent="0.3">
      <c r="A144" s="3" t="s">
        <v>1049</v>
      </c>
      <c r="B144" s="1" t="s">
        <v>484</v>
      </c>
      <c r="D144" s="3" t="str">
        <f>"    (@MAJOR_BSCS, @COURSE_" &amp; MID(B144, 1, 3) &amp; "_" &amp; MID(B144, 5, 5) &amp; IF(ISERROR(FIND("L", B144, 5)), ",  ", ", ") &amp; "@CATALOG_2023_2024, 'BSCS Core', 'C'),"</f>
        <v xml:space="preserve">    (@MAJOR_BSCS, @COURSE_CDA_3103,  @CATALOG_2023_2024, 'BSCS Core', 'C'),</v>
      </c>
      <c r="E144" s="3" t="s">
        <v>852</v>
      </c>
      <c r="F144" s="3" t="s">
        <v>1081</v>
      </c>
    </row>
    <row r="145" spans="2:6" x14ac:dyDescent="0.3">
      <c r="B145" s="1" t="s">
        <v>374</v>
      </c>
      <c r="D145" s="3" t="str">
        <f t="shared" ref="D145:D168" si="1">"    (@MAJOR_BSCS, @COURSE_" &amp; MID(B145, 1, 3) &amp; "_" &amp; MID(B145, 5, 5) &amp; IF(ISERROR(FIND("L", B145, 5)), ",  ", ", ") &amp; "@CATALOG_2023_2024, 'BSCS Core', 'C'),"</f>
        <v xml:space="preserve">    (@MAJOR_BSCS, @COURSE_CDA_3201,  @CATALOG_2023_2024, 'BSCS Core', 'C'),</v>
      </c>
      <c r="E145" s="3" t="s">
        <v>852</v>
      </c>
      <c r="F145" s="3" t="s">
        <v>1082</v>
      </c>
    </row>
    <row r="146" spans="2:6" x14ac:dyDescent="0.3">
      <c r="B146" s="1" t="s">
        <v>390</v>
      </c>
      <c r="D146" s="3" t="str">
        <f t="shared" si="1"/>
        <v xml:space="preserve">    (@MAJOR_BSCS, @COURSE_CDA_3201L, @CATALOG_2023_2024, 'BSCS Core', 'C'),</v>
      </c>
      <c r="F146" s="3" t="s">
        <v>1083</v>
      </c>
    </row>
    <row r="147" spans="2:6" x14ac:dyDescent="0.3">
      <c r="B147" s="1" t="s">
        <v>393</v>
      </c>
      <c r="D147" s="3" t="str">
        <f t="shared" si="1"/>
        <v xml:space="preserve">    (@MAJOR_BSCS, @COURSE_CDA_4205,  @CATALOG_2023_2024, 'BSCS Core', 'C'),</v>
      </c>
      <c r="F147" s="3" t="s">
        <v>1084</v>
      </c>
    </row>
    <row r="148" spans="2:6" x14ac:dyDescent="0.3">
      <c r="B148" s="1" t="s">
        <v>622</v>
      </c>
      <c r="D148" s="3" t="str">
        <f t="shared" si="1"/>
        <v xml:space="preserve">    (@MAJOR_BSCS, @COURSE_CDA_4205L, @CATALOG_2023_2024, 'BSCS Core', 'C'),</v>
      </c>
      <c r="F148" s="3" t="s">
        <v>1085</v>
      </c>
    </row>
    <row r="149" spans="2:6" x14ac:dyDescent="0.3">
      <c r="B149" s="1" t="s">
        <v>636</v>
      </c>
      <c r="D149" s="3" t="str">
        <f t="shared" si="1"/>
        <v xml:space="preserve">    (@MAJOR_BSCS, @COURSE_CEN_4020,  @CATALOG_2023_2024, 'BSCS Core', 'C'),</v>
      </c>
      <c r="F149" s="3" t="s">
        <v>1086</v>
      </c>
    </row>
    <row r="150" spans="2:6" x14ac:dyDescent="0.3">
      <c r="B150" s="1" t="s">
        <v>625</v>
      </c>
      <c r="D150" s="3" t="str">
        <f t="shared" si="1"/>
        <v xml:space="preserve">    (@MAJOR_BSCS, @COURSE_CIS_4250,  @CATALOG_2023_2024, 'BSCS Core', 'C'),</v>
      </c>
      <c r="F150" s="3" t="s">
        <v>1087</v>
      </c>
    </row>
    <row r="151" spans="2:6" x14ac:dyDescent="0.3">
      <c r="B151" s="1" t="s">
        <v>641</v>
      </c>
      <c r="D151" s="3" t="str">
        <f t="shared" si="1"/>
        <v xml:space="preserve">    (@MAJOR_BSCS, @COURSE_CNT_4419,  @CATALOG_2023_2024, 'BSCS Core', 'C'),</v>
      </c>
      <c r="F151" s="3" t="s">
        <v>1088</v>
      </c>
    </row>
    <row r="152" spans="2:6" x14ac:dyDescent="0.3">
      <c r="B152" s="1" t="s">
        <v>387</v>
      </c>
      <c r="D152" s="3" t="str">
        <f t="shared" si="1"/>
        <v xml:space="preserve">    (@MAJOR_BSCS, @COURSE_COP_2510,  @CATALOG_2023_2024, 'BSCS Core', 'C'),</v>
      </c>
      <c r="F152" s="3" t="s">
        <v>1089</v>
      </c>
    </row>
    <row r="153" spans="2:6" x14ac:dyDescent="0.3">
      <c r="B153" s="1" t="s">
        <v>365</v>
      </c>
      <c r="D153" s="3" t="str">
        <f t="shared" si="1"/>
        <v xml:space="preserve">    (@MAJOR_BSCS, @COURSE_COP_3514,  @CATALOG_2023_2024, 'BSCS Core', 'C'),</v>
      </c>
      <c r="F153" s="3" t="s">
        <v>1090</v>
      </c>
    </row>
    <row r="154" spans="2:6" x14ac:dyDescent="0.3">
      <c r="B154" s="1" t="s">
        <v>366</v>
      </c>
      <c r="D154" s="3" t="str">
        <f t="shared" si="1"/>
        <v xml:space="preserve">    (@MAJOR_BSCS, @COURSE_COP_4530,  @CATALOG_2023_2024, 'BSCS Core', 'C'),</v>
      </c>
      <c r="F154" s="3" t="s">
        <v>1091</v>
      </c>
    </row>
    <row r="155" spans="2:6" x14ac:dyDescent="0.3">
      <c r="B155" s="1" t="s">
        <v>449</v>
      </c>
      <c r="D155" s="3" t="str">
        <f t="shared" si="1"/>
        <v xml:space="preserve">    (@MAJOR_BSCS, @COURSE_COP_4600,  @CATALOG_2023_2024, 'BSCS Core', 'C'),</v>
      </c>
      <c r="F155" s="3" t="s">
        <v>1092</v>
      </c>
    </row>
    <row r="156" spans="2:6" x14ac:dyDescent="0.3">
      <c r="B156" s="1" t="s">
        <v>471</v>
      </c>
      <c r="D156" s="3" t="str">
        <f t="shared" si="1"/>
        <v xml:space="preserve">    (@MAJOR_BSCS, @COURSE_COT_3100,  @CATALOG_2023_2024, 'BSCS Core', 'C'),</v>
      </c>
      <c r="F156" s="3" t="s">
        <v>1093</v>
      </c>
    </row>
    <row r="157" spans="2:6" x14ac:dyDescent="0.3">
      <c r="B157" s="1" t="s">
        <v>624</v>
      </c>
      <c r="D157" s="3" t="str">
        <f t="shared" si="1"/>
        <v xml:space="preserve">    (@MAJOR_BSCS, @COURSE_COT_4400,  @CATALOG_2023_2024, 'BSCS Core', 'C'),</v>
      </c>
      <c r="F157" s="3" t="s">
        <v>1094</v>
      </c>
    </row>
    <row r="158" spans="2:6" x14ac:dyDescent="0.3">
      <c r="B158" s="1" t="s">
        <v>614</v>
      </c>
      <c r="D158" s="3" t="str">
        <f t="shared" si="1"/>
        <v xml:space="preserve">    (@MAJOR_BSCS, @COURSE_EGN_3000,  @CATALOG_2023_2024, 'BSCS Core', 'C'),</v>
      </c>
      <c r="F158" s="3" t="s">
        <v>1095</v>
      </c>
    </row>
    <row r="159" spans="2:6" x14ac:dyDescent="0.3">
      <c r="B159" s="1" t="s">
        <v>613</v>
      </c>
      <c r="D159" s="3" t="str">
        <f t="shared" si="1"/>
        <v xml:space="preserve">    (@MAJOR_BSCS, @COURSE_EGN_3000L, @CATALOG_2023_2024, 'BSCS Core', 'C'),</v>
      </c>
      <c r="F159" s="3" t="s">
        <v>1096</v>
      </c>
    </row>
    <row r="160" spans="2:6" x14ac:dyDescent="0.3">
      <c r="B160" s="1" t="s">
        <v>616</v>
      </c>
      <c r="D160" s="3" t="str">
        <f t="shared" si="1"/>
        <v xml:space="preserve">    (@MAJOR_BSCS, @COURSE_EGN_3443,  @CATALOG_2023_2024, 'BSCS Core', 'C'),</v>
      </c>
      <c r="F160" s="3" t="s">
        <v>1097</v>
      </c>
    </row>
    <row r="161" spans="1:6" x14ac:dyDescent="0.3">
      <c r="B161" s="1" t="s">
        <v>618</v>
      </c>
      <c r="D161" s="3" t="str">
        <f t="shared" si="1"/>
        <v xml:space="preserve">    (@MAJOR_BSCS, @COURSE_EGN_4450,  @CATALOG_2023_2024, 'BSCS Core', 'C'),</v>
      </c>
      <c r="F161" s="3" t="s">
        <v>1098</v>
      </c>
    </row>
    <row r="162" spans="1:6" x14ac:dyDescent="0.3">
      <c r="B162" s="1" t="s">
        <v>7</v>
      </c>
      <c r="D162" s="3" t="str">
        <f t="shared" si="1"/>
        <v xml:space="preserve">    (@MAJOR_BSCS, @COURSE_ENC_1101,  @CATALOG_2023_2024, 'BSCS Core', 'C'),</v>
      </c>
      <c r="F162" s="3" t="s">
        <v>1099</v>
      </c>
    </row>
    <row r="163" spans="1:6" x14ac:dyDescent="0.3">
      <c r="B163" s="1" t="s">
        <v>538</v>
      </c>
      <c r="D163" s="3" t="str">
        <f t="shared" si="1"/>
        <v xml:space="preserve">    (@MAJOR_BSCS, @COURSE_ENC_1102,  @CATALOG_2023_2024, 'BSCS Core', 'C'),</v>
      </c>
      <c r="F163" s="3" t="s">
        <v>1100</v>
      </c>
    </row>
    <row r="164" spans="1:6" x14ac:dyDescent="0.3">
      <c r="B164" s="1" t="s">
        <v>628</v>
      </c>
      <c r="D164" s="3" t="str">
        <f t="shared" si="1"/>
        <v xml:space="preserve">    (@MAJOR_BSCS, @COURSE_ENC_3246,  @CATALOG_2023_2024, 'BSCS Core', 'C'),</v>
      </c>
      <c r="F164" s="3" t="s">
        <v>1101</v>
      </c>
    </row>
    <row r="165" spans="1:6" x14ac:dyDescent="0.3">
      <c r="B165" s="1" t="s">
        <v>583</v>
      </c>
      <c r="D165" s="3" t="str">
        <f t="shared" si="1"/>
        <v xml:space="preserve">    (@MAJOR_BSCS, @COURSE_PHY_2048,  @CATALOG_2023_2024, 'BSCS Core', 'C'),</v>
      </c>
      <c r="F165" s="3" t="s">
        <v>1102</v>
      </c>
    </row>
    <row r="166" spans="1:6" x14ac:dyDescent="0.3">
      <c r="B166" s="1" t="s">
        <v>579</v>
      </c>
      <c r="D166" s="3" t="str">
        <f t="shared" si="1"/>
        <v xml:space="preserve">    (@MAJOR_BSCS, @COURSE_PHY_2048L, @CATALOG_2023_2024, 'BSCS Core', 'C'),</v>
      </c>
      <c r="F166" s="3" t="s">
        <v>1103</v>
      </c>
    </row>
    <row r="167" spans="1:6" x14ac:dyDescent="0.3">
      <c r="B167" s="1" t="s">
        <v>584</v>
      </c>
      <c r="D167" s="3" t="str">
        <f t="shared" si="1"/>
        <v xml:space="preserve">    (@MAJOR_BSCS, @COURSE_PHY_2049,  @CATALOG_2023_2024, 'BSCS Core', 'C'),</v>
      </c>
      <c r="F167" s="3" t="s">
        <v>1104</v>
      </c>
    </row>
    <row r="168" spans="1:6" x14ac:dyDescent="0.3">
      <c r="B168" s="1" t="s">
        <v>580</v>
      </c>
      <c r="D168" s="3" t="str">
        <f t="shared" si="1"/>
        <v xml:space="preserve">    (@MAJOR_BSCS, @COURSE_PHY_2049L, @CATALOG_2023_2024, 'BSCS Core', 'C'),</v>
      </c>
      <c r="F168" s="3" t="s">
        <v>1105</v>
      </c>
    </row>
    <row r="170" spans="1:6" x14ac:dyDescent="0.3">
      <c r="A170" s="1" t="s">
        <v>1033</v>
      </c>
      <c r="B170" s="1" t="s">
        <v>630</v>
      </c>
    </row>
    <row r="171" spans="1:6" x14ac:dyDescent="0.3">
      <c r="A171" s="1" t="s">
        <v>1032</v>
      </c>
      <c r="B171" s="1" t="s">
        <v>631</v>
      </c>
    </row>
    <row r="172" spans="1:6" x14ac:dyDescent="0.3">
      <c r="A172" s="1"/>
      <c r="B172" s="1" t="s">
        <v>632</v>
      </c>
    </row>
    <row r="173" spans="1:6" x14ac:dyDescent="0.3">
      <c r="A173" s="1"/>
      <c r="B173" s="1" t="s">
        <v>633</v>
      </c>
    </row>
    <row r="174" spans="1:6" x14ac:dyDescent="0.3">
      <c r="A174" s="1"/>
      <c r="B174" s="1" t="s">
        <v>634</v>
      </c>
    </row>
    <row r="175" spans="1:6" x14ac:dyDescent="0.3">
      <c r="A175" s="1"/>
      <c r="B175" s="1" t="s">
        <v>635</v>
      </c>
    </row>
    <row r="176" spans="1:6" x14ac:dyDescent="0.3">
      <c r="A176" s="1"/>
      <c r="B176" s="1" t="s">
        <v>392</v>
      </c>
    </row>
    <row r="177" spans="1:4" x14ac:dyDescent="0.3">
      <c r="A177" s="1"/>
      <c r="B177" s="1" t="s">
        <v>621</v>
      </c>
    </row>
    <row r="178" spans="1:4" x14ac:dyDescent="0.3">
      <c r="A178" s="1"/>
      <c r="B178" s="1" t="s">
        <v>394</v>
      </c>
    </row>
    <row r="179" spans="1:4" x14ac:dyDescent="0.3">
      <c r="A179" s="1"/>
      <c r="B179" s="1" t="s">
        <v>623</v>
      </c>
    </row>
    <row r="180" spans="1:4" x14ac:dyDescent="0.3">
      <c r="A180" s="1"/>
      <c r="B180" s="1" t="s">
        <v>650</v>
      </c>
    </row>
    <row r="181" spans="1:4" x14ac:dyDescent="0.3">
      <c r="A181" s="1"/>
      <c r="B181" s="1" t="s">
        <v>651</v>
      </c>
    </row>
    <row r="182" spans="1:4" x14ac:dyDescent="0.3">
      <c r="A182" s="1"/>
      <c r="B182" s="1" t="s">
        <v>652</v>
      </c>
    </row>
    <row r="183" spans="1:4" x14ac:dyDescent="0.3">
      <c r="A183" s="1"/>
      <c r="B183" s="1" t="s">
        <v>637</v>
      </c>
    </row>
    <row r="184" spans="1:4" x14ac:dyDescent="0.3">
      <c r="A184" s="1"/>
      <c r="B184" s="1" t="s">
        <v>655</v>
      </c>
    </row>
    <row r="185" spans="1:4" x14ac:dyDescent="0.3">
      <c r="A185" s="1"/>
      <c r="B185" s="1" t="s">
        <v>656</v>
      </c>
    </row>
    <row r="186" spans="1:4" x14ac:dyDescent="0.3">
      <c r="A186" s="1"/>
      <c r="B186" s="1" t="s">
        <v>638</v>
      </c>
    </row>
    <row r="187" spans="1:4" x14ac:dyDescent="0.3">
      <c r="A187" s="1"/>
      <c r="B187" s="1" t="s">
        <v>657</v>
      </c>
      <c r="D187" s="1"/>
    </row>
    <row r="188" spans="1:4" x14ac:dyDescent="0.3">
      <c r="A188" s="1"/>
      <c r="B188" s="1" t="s">
        <v>658</v>
      </c>
      <c r="D188" s="1"/>
    </row>
    <row r="189" spans="1:4" x14ac:dyDescent="0.3">
      <c r="A189" s="1"/>
      <c r="B189" s="1" t="s">
        <v>626</v>
      </c>
      <c r="D189" s="1"/>
    </row>
    <row r="190" spans="1:4" x14ac:dyDescent="0.3">
      <c r="A190" s="1"/>
      <c r="B190" s="1" t="s">
        <v>659</v>
      </c>
      <c r="D190" s="1"/>
    </row>
    <row r="191" spans="1:4" x14ac:dyDescent="0.3">
      <c r="A191" s="1"/>
      <c r="B191" s="1" t="s">
        <v>660</v>
      </c>
      <c r="D191" s="1"/>
    </row>
    <row r="192" spans="1:4" x14ac:dyDescent="0.3">
      <c r="A192" s="1"/>
      <c r="B192" s="1" t="s">
        <v>639</v>
      </c>
      <c r="D192" s="1"/>
    </row>
    <row r="193" spans="1:4" x14ac:dyDescent="0.3">
      <c r="A193" s="1"/>
      <c r="B193" s="1" t="s">
        <v>640</v>
      </c>
      <c r="D193" s="1"/>
    </row>
    <row r="194" spans="1:4" x14ac:dyDescent="0.3">
      <c r="A194" s="1"/>
      <c r="B194" s="1" t="s">
        <v>642</v>
      </c>
      <c r="D194" s="1"/>
    </row>
    <row r="195" spans="1:4" x14ac:dyDescent="0.3">
      <c r="A195" s="1"/>
      <c r="B195" s="1" t="s">
        <v>643</v>
      </c>
      <c r="D195" s="1"/>
    </row>
    <row r="196" spans="1:4" x14ac:dyDescent="0.3">
      <c r="A196" s="1"/>
      <c r="B196" s="1" t="s">
        <v>644</v>
      </c>
      <c r="D196" s="1"/>
    </row>
    <row r="197" spans="1:4" x14ac:dyDescent="0.3">
      <c r="A197" s="1"/>
      <c r="B197" s="1" t="s">
        <v>645</v>
      </c>
      <c r="D197" s="1"/>
    </row>
    <row r="198" spans="1:4" x14ac:dyDescent="0.3">
      <c r="A198" s="1"/>
      <c r="B198" s="1" t="s">
        <v>646</v>
      </c>
      <c r="D198" s="1"/>
    </row>
    <row r="199" spans="1:4" x14ac:dyDescent="0.3">
      <c r="A199" s="1"/>
      <c r="B199" s="1" t="s">
        <v>647</v>
      </c>
      <c r="D199" s="1"/>
    </row>
    <row r="200" spans="1:4" x14ac:dyDescent="0.3">
      <c r="A200" s="1"/>
      <c r="B200" s="1" t="s">
        <v>648</v>
      </c>
      <c r="D200" s="1"/>
    </row>
    <row r="201" spans="1:4" x14ac:dyDescent="0.3">
      <c r="A201" s="1"/>
      <c r="B201" s="1" t="s">
        <v>653</v>
      </c>
      <c r="D201" s="1"/>
    </row>
    <row r="202" spans="1:4" x14ac:dyDescent="0.3">
      <c r="A202" s="1"/>
      <c r="B202" s="1" t="s">
        <v>654</v>
      </c>
      <c r="D202" s="1"/>
    </row>
    <row r="203" spans="1:4" x14ac:dyDescent="0.3">
      <c r="D203" s="1"/>
    </row>
    <row r="204" spans="1:4" x14ac:dyDescent="0.3">
      <c r="A204" s="1" t="s">
        <v>1040</v>
      </c>
      <c r="B204" s="1" t="s">
        <v>630</v>
      </c>
      <c r="D204" s="1"/>
    </row>
    <row r="205" spans="1:4" x14ac:dyDescent="0.3">
      <c r="A205" s="1" t="s">
        <v>821</v>
      </c>
      <c r="B205" s="1" t="s">
        <v>822</v>
      </c>
      <c r="D205" s="1"/>
    </row>
    <row r="206" spans="1:4" x14ac:dyDescent="0.3">
      <c r="A206" s="1"/>
      <c r="B206" s="1" t="s">
        <v>632</v>
      </c>
      <c r="D206" s="1"/>
    </row>
    <row r="207" spans="1:4" x14ac:dyDescent="0.3">
      <c r="A207" s="1"/>
      <c r="B207" s="1" t="s">
        <v>823</v>
      </c>
      <c r="D207" s="1"/>
    </row>
    <row r="208" spans="1:4" x14ac:dyDescent="0.3">
      <c r="A208" s="1"/>
      <c r="B208" s="1" t="s">
        <v>633</v>
      </c>
      <c r="D208" s="1"/>
    </row>
    <row r="209" spans="1:2" x14ac:dyDescent="0.3">
      <c r="A209" s="1"/>
      <c r="B209" s="1" t="s">
        <v>634</v>
      </c>
    </row>
    <row r="210" spans="1:2" x14ac:dyDescent="0.3">
      <c r="A210" s="1"/>
      <c r="B210" s="1" t="s">
        <v>824</v>
      </c>
    </row>
    <row r="211" spans="1:2" x14ac:dyDescent="0.3">
      <c r="A211" s="1"/>
      <c r="B211" s="1" t="s">
        <v>825</v>
      </c>
    </row>
    <row r="212" spans="1:2" x14ac:dyDescent="0.3">
      <c r="A212" s="1"/>
      <c r="B212" s="1" t="s">
        <v>826</v>
      </c>
    </row>
    <row r="213" spans="1:2" x14ac:dyDescent="0.3">
      <c r="A213" s="1"/>
      <c r="B213" s="1" t="s">
        <v>635</v>
      </c>
    </row>
    <row r="214" spans="1:2" x14ac:dyDescent="0.3">
      <c r="A214" s="1"/>
      <c r="B214" s="1" t="s">
        <v>827</v>
      </c>
    </row>
    <row r="215" spans="1:2" x14ac:dyDescent="0.3">
      <c r="A215" s="1"/>
      <c r="B215" s="1" t="s">
        <v>652</v>
      </c>
    </row>
    <row r="216" spans="1:2" x14ac:dyDescent="0.3">
      <c r="A216" s="1"/>
      <c r="B216" s="1" t="s">
        <v>637</v>
      </c>
    </row>
    <row r="217" spans="1:2" x14ac:dyDescent="0.3">
      <c r="A217" s="1"/>
      <c r="B217" s="1" t="s">
        <v>656</v>
      </c>
    </row>
    <row r="218" spans="1:2" x14ac:dyDescent="0.3">
      <c r="A218" s="1"/>
      <c r="B218" s="1" t="s">
        <v>639</v>
      </c>
    </row>
    <row r="219" spans="1:2" x14ac:dyDescent="0.3">
      <c r="A219" s="1"/>
      <c r="B219" s="1" t="s">
        <v>640</v>
      </c>
    </row>
    <row r="220" spans="1:2" x14ac:dyDescent="0.3">
      <c r="A220" s="1"/>
      <c r="B220" s="1" t="s">
        <v>643</v>
      </c>
    </row>
    <row r="221" spans="1:2" x14ac:dyDescent="0.3">
      <c r="A221" s="1"/>
      <c r="B221" s="1" t="s">
        <v>644</v>
      </c>
    </row>
    <row r="222" spans="1:2" x14ac:dyDescent="0.3">
      <c r="A222" s="1"/>
      <c r="B222" s="1" t="s">
        <v>645</v>
      </c>
    </row>
    <row r="223" spans="1:2" x14ac:dyDescent="0.3">
      <c r="A223" s="1"/>
      <c r="B223" s="1" t="s">
        <v>646</v>
      </c>
    </row>
    <row r="224" spans="1:2" x14ac:dyDescent="0.3">
      <c r="A224" s="1"/>
      <c r="B224" s="1" t="s">
        <v>648</v>
      </c>
    </row>
    <row r="225" spans="1:2" x14ac:dyDescent="0.3">
      <c r="A225" s="1"/>
      <c r="B225" s="1"/>
    </row>
    <row r="226" spans="1:2" x14ac:dyDescent="0.3">
      <c r="A226" s="1" t="s">
        <v>1041</v>
      </c>
      <c r="B226" s="1" t="s">
        <v>655</v>
      </c>
    </row>
    <row r="227" spans="1:2" x14ac:dyDescent="0.3">
      <c r="A227" s="1" t="s">
        <v>836</v>
      </c>
      <c r="B227" s="1" t="s">
        <v>653</v>
      </c>
    </row>
    <row r="228" spans="1:2" x14ac:dyDescent="0.3">
      <c r="A228" s="1"/>
      <c r="B228" s="1" t="s">
        <v>654</v>
      </c>
    </row>
    <row r="229" spans="1:2" x14ac:dyDescent="0.3">
      <c r="A229" s="1"/>
      <c r="B229" s="1" t="s">
        <v>830</v>
      </c>
    </row>
    <row r="230" spans="1:2" x14ac:dyDescent="0.3">
      <c r="A230" s="1"/>
      <c r="B230" s="1"/>
    </row>
    <row r="231" spans="1:2" x14ac:dyDescent="0.3">
      <c r="A231" s="1" t="s">
        <v>1042</v>
      </c>
      <c r="B231" s="1" t="s">
        <v>630</v>
      </c>
    </row>
    <row r="232" spans="1:2" x14ac:dyDescent="0.3">
      <c r="A232" s="1" t="s">
        <v>837</v>
      </c>
      <c r="B232" s="1" t="s">
        <v>822</v>
      </c>
    </row>
    <row r="233" spans="1:2" x14ac:dyDescent="0.3">
      <c r="A233" s="1"/>
      <c r="B233" s="1" t="s">
        <v>632</v>
      </c>
    </row>
    <row r="234" spans="1:2" x14ac:dyDescent="0.3">
      <c r="A234" s="1"/>
      <c r="B234" s="1" t="s">
        <v>823</v>
      </c>
    </row>
    <row r="235" spans="1:2" x14ac:dyDescent="0.3">
      <c r="A235" s="1"/>
      <c r="B235" s="1" t="s">
        <v>633</v>
      </c>
    </row>
    <row r="236" spans="1:2" x14ac:dyDescent="0.3">
      <c r="A236" s="1"/>
      <c r="B236" s="1" t="s">
        <v>634</v>
      </c>
    </row>
    <row r="237" spans="1:2" x14ac:dyDescent="0.3">
      <c r="A237" s="1"/>
      <c r="B237" s="1" t="s">
        <v>825</v>
      </c>
    </row>
    <row r="238" spans="1:2" x14ac:dyDescent="0.3">
      <c r="A238" s="1"/>
      <c r="B238" s="1" t="s">
        <v>835</v>
      </c>
    </row>
    <row r="239" spans="1:2" x14ac:dyDescent="0.3">
      <c r="A239" s="1"/>
      <c r="B239" s="1" t="s">
        <v>826</v>
      </c>
    </row>
    <row r="240" spans="1:2" x14ac:dyDescent="0.3">
      <c r="A240" s="1"/>
      <c r="B240" s="1" t="s">
        <v>635</v>
      </c>
    </row>
    <row r="241" spans="1:2" x14ac:dyDescent="0.3">
      <c r="A241" s="1"/>
      <c r="B241" s="1" t="s">
        <v>827</v>
      </c>
    </row>
    <row r="242" spans="1:2" x14ac:dyDescent="0.3">
      <c r="A242" s="1"/>
      <c r="B242" s="1" t="s">
        <v>392</v>
      </c>
    </row>
    <row r="243" spans="1:2" x14ac:dyDescent="0.3">
      <c r="A243" s="1"/>
      <c r="B243" s="1" t="s">
        <v>621</v>
      </c>
    </row>
    <row r="244" spans="1:2" x14ac:dyDescent="0.3">
      <c r="A244" s="1"/>
      <c r="B244" s="1" t="s">
        <v>394</v>
      </c>
    </row>
    <row r="245" spans="1:2" x14ac:dyDescent="0.3">
      <c r="A245" s="1"/>
      <c r="B245" s="1" t="s">
        <v>623</v>
      </c>
    </row>
    <row r="246" spans="1:2" x14ac:dyDescent="0.3">
      <c r="A246" s="1"/>
      <c r="B246" s="1" t="s">
        <v>650</v>
      </c>
    </row>
    <row r="247" spans="1:2" x14ac:dyDescent="0.3">
      <c r="A247" s="1"/>
      <c r="B247" s="1" t="s">
        <v>820</v>
      </c>
    </row>
    <row r="248" spans="1:2" x14ac:dyDescent="0.3">
      <c r="A248" s="1"/>
      <c r="B248" s="1" t="s">
        <v>651</v>
      </c>
    </row>
    <row r="249" spans="1:2" x14ac:dyDescent="0.3">
      <c r="A249" s="1"/>
      <c r="B249" s="1" t="s">
        <v>828</v>
      </c>
    </row>
    <row r="250" spans="1:2" x14ac:dyDescent="0.3">
      <c r="A250" s="1"/>
      <c r="B250" s="1" t="s">
        <v>652</v>
      </c>
    </row>
    <row r="251" spans="1:2" x14ac:dyDescent="0.3">
      <c r="A251" s="1"/>
      <c r="B251" s="1" t="s">
        <v>637</v>
      </c>
    </row>
    <row r="252" spans="1:2" x14ac:dyDescent="0.3">
      <c r="A252" s="1"/>
      <c r="B252" s="1" t="s">
        <v>655</v>
      </c>
    </row>
    <row r="253" spans="1:2" x14ac:dyDescent="0.3">
      <c r="A253" s="1"/>
      <c r="B253" s="1" t="s">
        <v>656</v>
      </c>
    </row>
    <row r="254" spans="1:2" x14ac:dyDescent="0.3">
      <c r="A254" s="1"/>
      <c r="B254" s="1" t="s">
        <v>658</v>
      </c>
    </row>
    <row r="255" spans="1:2" x14ac:dyDescent="0.3">
      <c r="A255" s="1"/>
      <c r="B255" s="1" t="s">
        <v>626</v>
      </c>
    </row>
    <row r="256" spans="1:2" x14ac:dyDescent="0.3">
      <c r="A256" s="1"/>
      <c r="B256" s="1" t="s">
        <v>659</v>
      </c>
    </row>
    <row r="257" spans="1:6" x14ac:dyDescent="0.3">
      <c r="A257" s="1"/>
      <c r="B257" s="1" t="s">
        <v>829</v>
      </c>
    </row>
    <row r="258" spans="1:6" x14ac:dyDescent="0.3">
      <c r="A258" s="1"/>
      <c r="B258" s="1" t="s">
        <v>660</v>
      </c>
    </row>
    <row r="259" spans="1:6" x14ac:dyDescent="0.3">
      <c r="A259" s="1"/>
      <c r="B259" s="1" t="s">
        <v>639</v>
      </c>
    </row>
    <row r="260" spans="1:6" x14ac:dyDescent="0.3">
      <c r="A260" s="1"/>
      <c r="B260" s="1" t="s">
        <v>640</v>
      </c>
    </row>
    <row r="261" spans="1:6" x14ac:dyDescent="0.3">
      <c r="A261" s="1"/>
      <c r="B261" s="1" t="s">
        <v>643</v>
      </c>
    </row>
    <row r="262" spans="1:6" x14ac:dyDescent="0.3">
      <c r="A262" s="1"/>
      <c r="B262" s="1" t="s">
        <v>644</v>
      </c>
    </row>
    <row r="263" spans="1:6" x14ac:dyDescent="0.3">
      <c r="A263" s="1"/>
      <c r="B263" s="1" t="s">
        <v>645</v>
      </c>
    </row>
    <row r="264" spans="1:6" x14ac:dyDescent="0.3">
      <c r="A264" s="1"/>
      <c r="B264" s="1" t="s">
        <v>646</v>
      </c>
    </row>
    <row r="265" spans="1:6" x14ac:dyDescent="0.3">
      <c r="A265" s="1"/>
      <c r="B265" s="1" t="s">
        <v>648</v>
      </c>
    </row>
    <row r="266" spans="1:6" x14ac:dyDescent="0.3">
      <c r="A266" s="1"/>
      <c r="B266" s="1" t="s">
        <v>653</v>
      </c>
    </row>
    <row r="267" spans="1:6" x14ac:dyDescent="0.3">
      <c r="A267" s="1"/>
      <c r="B267" s="1" t="s">
        <v>654</v>
      </c>
    </row>
    <row r="268" spans="1:6" x14ac:dyDescent="0.3">
      <c r="A268" s="1"/>
      <c r="B268" s="1" t="s">
        <v>830</v>
      </c>
    </row>
    <row r="270" spans="1:6" x14ac:dyDescent="0.3">
      <c r="A270" s="1" t="s">
        <v>1045</v>
      </c>
      <c r="B270" s="1" t="s">
        <v>395</v>
      </c>
      <c r="D270" s="3" t="str">
        <f>"    (@MAJOR_BSCyS, @COURSE_" &amp; MID(B270, 1, 3) &amp; "_" &amp; MID(B270, 5, 5) &amp; IF(ISERROR(FIND("L", B270, 5)), ",  ", ", ") &amp; "@CATALOG_2023_2024, 'BSCyS Core', 'C'),"</f>
        <v xml:space="preserve">    (@MAJOR_BSCyS, @COURSE_CEN_3722,  @CATALOG_2023_2024, 'BSCyS Core', 'C'),</v>
      </c>
      <c r="E270" s="3" t="s">
        <v>852</v>
      </c>
      <c r="F270" s="3" t="s">
        <v>1106</v>
      </c>
    </row>
    <row r="271" spans="1:6" x14ac:dyDescent="0.3">
      <c r="A271" s="1"/>
      <c r="B271" s="1" t="s">
        <v>396</v>
      </c>
      <c r="D271" s="3" t="str">
        <f t="shared" ref="D271:D301" si="2">"    (@MAJOR_BSCyS, @COURSE_" &amp; MID(B271, 1, 3) &amp; "_" &amp; MID(B271, 5, 5) &amp; IF(ISERROR(FIND("L", B271, 5)), ",  ", ", ") &amp; "@CATALOG_2023_2024, 'BSCyS Core', 'C'),"</f>
        <v xml:space="preserve">    (@MAJOR_BSCyS, @COURSE_CGS_1540,  @CATALOG_2023_2024, 'BSCyS Core', 'C'),</v>
      </c>
      <c r="E271" s="3" t="s">
        <v>852</v>
      </c>
      <c r="F271" s="3" t="s">
        <v>1107</v>
      </c>
    </row>
    <row r="272" spans="1:6" x14ac:dyDescent="0.3">
      <c r="A272" s="1"/>
      <c r="B272" s="1" t="s">
        <v>397</v>
      </c>
      <c r="D272" s="3" t="str">
        <f t="shared" si="2"/>
        <v xml:space="preserve">    (@MAJOR_BSCyS, @COURSE_CGS_3303,  @CATALOG_2023_2024, 'BSCyS Core', 'C'),</v>
      </c>
      <c r="F272" s="3" t="s">
        <v>1108</v>
      </c>
    </row>
    <row r="273" spans="1:6" x14ac:dyDescent="0.3">
      <c r="A273" s="1"/>
      <c r="B273" s="1" t="s">
        <v>674</v>
      </c>
      <c r="D273" s="3" t="str">
        <f t="shared" si="2"/>
        <v xml:space="preserve">    (@MAJOR_BSCyS, @COURSE_CGS_3853,  @CATALOG_2023_2024, 'BSCyS Core', 'C'),</v>
      </c>
      <c r="F273" s="3" t="s">
        <v>1109</v>
      </c>
    </row>
    <row r="274" spans="1:6" x14ac:dyDescent="0.3">
      <c r="A274" s="1"/>
      <c r="B274" s="1" t="s">
        <v>670</v>
      </c>
      <c r="D274" s="3" t="str">
        <f t="shared" si="2"/>
        <v xml:space="preserve">    (@MAJOR_BSCyS, @COURSE_CIS_3213,  @CATALOG_2023_2024, 'BSCyS Core', 'C'),</v>
      </c>
      <c r="F274" s="3" t="s">
        <v>1110</v>
      </c>
    </row>
    <row r="275" spans="1:6" x14ac:dyDescent="0.3">
      <c r="A275" s="1"/>
      <c r="B275" s="1" t="s">
        <v>426</v>
      </c>
      <c r="D275" s="3" t="str">
        <f t="shared" si="2"/>
        <v xml:space="preserve">    (@MAJOR_BSCyS, @COURSE_CIS_3363,  @CATALOG_2023_2024, 'BSCyS Core', 'C'),</v>
      </c>
      <c r="F275" s="3" t="s">
        <v>1111</v>
      </c>
    </row>
    <row r="276" spans="1:6" x14ac:dyDescent="0.3">
      <c r="A276" s="1"/>
      <c r="B276" s="1" t="s">
        <v>671</v>
      </c>
      <c r="D276" s="3" t="str">
        <f t="shared" si="2"/>
        <v xml:space="preserve">    (@MAJOR_BSCyS, @COURSE_CIS_4200,  @CATALOG_2023_2024, 'BSCyS Core', 'C'),</v>
      </c>
      <c r="F276" s="3" t="s">
        <v>1112</v>
      </c>
    </row>
    <row r="277" spans="1:6" x14ac:dyDescent="0.3">
      <c r="A277" s="1"/>
      <c r="B277" s="1" t="s">
        <v>672</v>
      </c>
      <c r="D277" s="3" t="str">
        <f t="shared" si="2"/>
        <v xml:space="preserve">    (@MAJOR_BSCyS, @COURSE_CIS_4219,  @CATALOG_2023_2024, 'BSCyS Core', 'C'),</v>
      </c>
      <c r="F277" s="3" t="s">
        <v>1113</v>
      </c>
    </row>
    <row r="278" spans="1:6" x14ac:dyDescent="0.3">
      <c r="A278" s="1"/>
      <c r="B278" s="1" t="s">
        <v>673</v>
      </c>
      <c r="D278" s="3" t="str">
        <f t="shared" si="2"/>
        <v xml:space="preserve">    (@MAJOR_BSCyS, @COURSE_CIS_4622,  @CATALOG_2023_2024, 'BSCyS Core', 'C'),</v>
      </c>
      <c r="F278" s="3" t="s">
        <v>1114</v>
      </c>
    </row>
    <row r="279" spans="1:6" x14ac:dyDescent="0.3">
      <c r="A279" s="1"/>
      <c r="B279" s="1" t="s">
        <v>678</v>
      </c>
      <c r="D279" s="3" t="str">
        <f t="shared" si="2"/>
        <v xml:space="preserve">    (@MAJOR_BSCyS, @COURSE_CIS_4935,  @CATALOG_2023_2024, 'BSCyS Core', 'C'),</v>
      </c>
      <c r="F279" s="3" t="s">
        <v>1115</v>
      </c>
    </row>
    <row r="280" spans="1:6" x14ac:dyDescent="0.3">
      <c r="A280" s="1"/>
      <c r="B280" s="1" t="s">
        <v>466</v>
      </c>
      <c r="D280" s="3" t="str">
        <f t="shared" si="2"/>
        <v xml:space="preserve">    (@MAJOR_BSCyS, @COURSE_CNT_4104,  @CATALOG_2023_2024, 'BSCyS Core', 'C'),</v>
      </c>
      <c r="F280" s="3" t="s">
        <v>1116</v>
      </c>
    </row>
    <row r="281" spans="1:6" x14ac:dyDescent="0.3">
      <c r="A281" s="1"/>
      <c r="B281" s="1" t="s">
        <v>464</v>
      </c>
      <c r="D281" s="3" t="str">
        <f t="shared" si="2"/>
        <v xml:space="preserve">    (@MAJOR_BSCyS, @COURSE_CNT_4104L, @CATALOG_2023_2024, 'BSCyS Core', 'C'),</v>
      </c>
      <c r="F281" s="3" t="s">
        <v>1117</v>
      </c>
    </row>
    <row r="282" spans="1:6" x14ac:dyDescent="0.3">
      <c r="A282" s="1"/>
      <c r="B282" s="1" t="s">
        <v>675</v>
      </c>
      <c r="D282" s="3" t="str">
        <f t="shared" si="2"/>
        <v xml:space="preserve">    (@MAJOR_BSCyS, @COURSE_CNT_4403,  @CATALOG_2023_2024, 'BSCyS Core', 'C'),</v>
      </c>
      <c r="F282" s="3" t="s">
        <v>1118</v>
      </c>
    </row>
    <row r="283" spans="1:6" x14ac:dyDescent="0.3">
      <c r="A283" s="1"/>
      <c r="B283" s="1" t="s">
        <v>431</v>
      </c>
      <c r="D283" s="3" t="str">
        <f t="shared" si="2"/>
        <v xml:space="preserve">    (@MAJOR_BSCyS, @COURSE_COP_2512,  @CATALOG_2023_2024, 'BSCyS Core', 'C'),</v>
      </c>
      <c r="F283" s="3" t="s">
        <v>1119</v>
      </c>
    </row>
    <row r="284" spans="1:6" x14ac:dyDescent="0.3">
      <c r="A284" s="1"/>
      <c r="B284" s="1" t="s">
        <v>453</v>
      </c>
      <c r="D284" s="3" t="str">
        <f t="shared" si="2"/>
        <v xml:space="preserve">    (@MAJOR_BSCyS, @COURSE_COP_2513,  @CATALOG_2023_2024, 'BSCyS Core', 'C'),</v>
      </c>
      <c r="F284" s="3" t="s">
        <v>1120</v>
      </c>
    </row>
    <row r="285" spans="1:6" x14ac:dyDescent="0.3">
      <c r="A285" s="1"/>
      <c r="B285" s="1" t="s">
        <v>372</v>
      </c>
      <c r="D285" s="3" t="str">
        <f t="shared" si="2"/>
        <v xml:space="preserve">    (@MAJOR_BSCyS, @COURSE_COP_3515,  @CATALOG_2023_2024, 'BSCyS Core', 'C'),</v>
      </c>
      <c r="F285" s="3" t="s">
        <v>1121</v>
      </c>
    </row>
    <row r="286" spans="1:6" x14ac:dyDescent="0.3">
      <c r="A286" s="1"/>
      <c r="B286" s="1" t="s">
        <v>498</v>
      </c>
      <c r="D286" s="3" t="str">
        <f t="shared" si="2"/>
        <v xml:space="preserve">    (@MAJOR_BSCyS, @COURSE_COP_4538,  @CATALOG_2023_2024, 'BSCyS Core', 'C'),</v>
      </c>
      <c r="F286" s="3" t="s">
        <v>1122</v>
      </c>
    </row>
    <row r="287" spans="1:6" x14ac:dyDescent="0.3">
      <c r="A287" s="1"/>
      <c r="B287" s="1" t="s">
        <v>676</v>
      </c>
      <c r="D287" s="3" t="str">
        <f t="shared" si="2"/>
        <v xml:space="preserve">    (@MAJOR_BSCyS, @COURSE_COP_4703,  @CATALOG_2023_2024, 'BSCyS Core', 'C'),</v>
      </c>
      <c r="F287" s="3" t="s">
        <v>1123</v>
      </c>
    </row>
    <row r="288" spans="1:6" x14ac:dyDescent="0.3">
      <c r="A288" s="1"/>
      <c r="B288" s="1" t="s">
        <v>669</v>
      </c>
      <c r="D288" s="3" t="str">
        <f t="shared" si="2"/>
        <v xml:space="preserve">    (@MAJOR_BSCyS, @COURSE_ECO_2013,  @CATALOG_2023_2024, 'BSCyS Core', 'C'),</v>
      </c>
      <c r="F288" s="3" t="s">
        <v>1124</v>
      </c>
    </row>
    <row r="289" spans="1:6" x14ac:dyDescent="0.3">
      <c r="A289" s="1"/>
      <c r="B289" s="1" t="s">
        <v>614</v>
      </c>
      <c r="D289" s="3" t="str">
        <f t="shared" si="2"/>
        <v xml:space="preserve">    (@MAJOR_BSCyS, @COURSE_EGN_3000,  @CATALOG_2023_2024, 'BSCyS Core', 'C'),</v>
      </c>
      <c r="F289" s="3" t="s">
        <v>1125</v>
      </c>
    </row>
    <row r="290" spans="1:6" x14ac:dyDescent="0.3">
      <c r="A290" s="1"/>
      <c r="B290" s="1" t="s">
        <v>613</v>
      </c>
      <c r="D290" s="3" t="str">
        <f t="shared" si="2"/>
        <v xml:space="preserve">    (@MAJOR_BSCyS, @COURSE_EGN_3000L, @CATALOG_2023_2024, 'BSCyS Core', 'C'),</v>
      </c>
      <c r="F290" s="3" t="s">
        <v>1126</v>
      </c>
    </row>
    <row r="291" spans="1:6" x14ac:dyDescent="0.3">
      <c r="A291" s="1"/>
      <c r="B291" s="1" t="s">
        <v>7</v>
      </c>
      <c r="D291" s="3" t="str">
        <f t="shared" si="2"/>
        <v xml:space="preserve">    (@MAJOR_BSCyS, @COURSE_ENC_1101,  @CATALOG_2023_2024, 'BSCyS Core', 'C'),</v>
      </c>
      <c r="F291" s="3" t="s">
        <v>1127</v>
      </c>
    </row>
    <row r="292" spans="1:6" x14ac:dyDescent="0.3">
      <c r="A292" s="1"/>
      <c r="B292" s="1" t="s">
        <v>538</v>
      </c>
      <c r="D292" s="3" t="str">
        <f t="shared" si="2"/>
        <v xml:space="preserve">    (@MAJOR_BSCyS, @COURSE_ENC_1102,  @CATALOG_2023_2024, 'BSCyS Core', 'C'),</v>
      </c>
      <c r="F292" s="3" t="s">
        <v>1128</v>
      </c>
    </row>
    <row r="293" spans="1:6" x14ac:dyDescent="0.3">
      <c r="A293" s="1"/>
      <c r="B293" s="1" t="s">
        <v>628</v>
      </c>
      <c r="D293" s="3" t="str">
        <f t="shared" si="2"/>
        <v xml:space="preserve">    (@MAJOR_BSCyS, @COURSE_ENC_3246,  @CATALOG_2023_2024, 'BSCyS Core', 'C'),</v>
      </c>
      <c r="F293" s="3" t="s">
        <v>1129</v>
      </c>
    </row>
    <row r="294" spans="1:6" x14ac:dyDescent="0.3">
      <c r="A294" s="1"/>
      <c r="B294" s="1" t="s">
        <v>679</v>
      </c>
      <c r="D294" s="3" t="str">
        <f t="shared" si="2"/>
        <v xml:space="preserve">    (@MAJOR_BSCyS, @COURSE_ISM_4323,  @CATALOG_2023_2024, 'BSCyS Core', 'C'),</v>
      </c>
      <c r="F294" s="3" t="s">
        <v>1130</v>
      </c>
    </row>
    <row r="295" spans="1:6" x14ac:dyDescent="0.3">
      <c r="A295" s="1"/>
      <c r="B295" s="1" t="s">
        <v>677</v>
      </c>
      <c r="D295" s="3" t="str">
        <f t="shared" si="2"/>
        <v xml:space="preserve">    (@MAJOR_BSCyS, @COURSE_LIS_4414,  @CATALOG_2023_2024, 'BSCyS Core', 'C'),</v>
      </c>
      <c r="F295" s="3" t="s">
        <v>1131</v>
      </c>
    </row>
    <row r="296" spans="1:6" x14ac:dyDescent="0.3">
      <c r="A296" s="1"/>
      <c r="B296" s="1" t="s">
        <v>559</v>
      </c>
      <c r="D296" s="3" t="str">
        <f t="shared" si="2"/>
        <v xml:space="preserve">    (@MAJOR_BSCyS, @COURSE_MAC_1147,  @CATALOG_2023_2024, 'BSCyS Core', 'C'),</v>
      </c>
      <c r="F296" s="3" t="s">
        <v>1132</v>
      </c>
    </row>
    <row r="297" spans="1:6" x14ac:dyDescent="0.3">
      <c r="A297" s="1"/>
      <c r="B297" s="1" t="s">
        <v>434</v>
      </c>
      <c r="D297" s="3" t="str">
        <f t="shared" si="2"/>
        <v xml:space="preserve">    (@MAJOR_BSCyS, @COURSE_MAD_2104,  @CATALOG_2023_2024, 'BSCyS Core', 'C'),</v>
      </c>
      <c r="F297" s="3" t="s">
        <v>1133</v>
      </c>
    </row>
    <row r="298" spans="1:6" x14ac:dyDescent="0.3">
      <c r="A298" s="1"/>
      <c r="B298" s="1" t="s">
        <v>0</v>
      </c>
      <c r="D298" s="3" t="str">
        <f t="shared" si="2"/>
        <v xml:space="preserve">    (@MAJOR_BSCyS, @COURSE_Nat_ral S,  @CATALOG_2023_2024, 'BSCyS Core', 'C'),</v>
      </c>
      <c r="F298" s="3" t="s">
        <v>1134</v>
      </c>
    </row>
    <row r="299" spans="1:6" x14ac:dyDescent="0.3">
      <c r="A299" s="1"/>
      <c r="B299" s="1" t="s">
        <v>666</v>
      </c>
      <c r="D299" s="3" t="str">
        <f t="shared" si="2"/>
        <v xml:space="preserve">    (@MAJOR_BSCyS, @COURSE_PHY_2020,  @CATALOG_2023_2024, 'BSCyS Core', 'C'),</v>
      </c>
      <c r="F299" s="3" t="s">
        <v>1135</v>
      </c>
    </row>
    <row r="300" spans="1:6" x14ac:dyDescent="0.3">
      <c r="A300" s="1"/>
      <c r="B300" s="1" t="s">
        <v>668</v>
      </c>
      <c r="D300" s="3" t="str">
        <f t="shared" si="2"/>
        <v xml:space="preserve">    (@MAJOR_BSCyS, @COURSE_PSY_2012,  @CATALOG_2023_2024, 'BSCyS Core', 'C'),</v>
      </c>
      <c r="F300" s="3" t="s">
        <v>1136</v>
      </c>
    </row>
    <row r="301" spans="1:6" x14ac:dyDescent="0.3">
      <c r="A301" s="1"/>
      <c r="B301" s="1" t="s">
        <v>665</v>
      </c>
      <c r="D301" s="3" t="str">
        <f t="shared" si="2"/>
        <v xml:space="preserve">    (@MAJOR_BSCyS, @COURSE_STA_2023,  @CATALOG_2023_2024, 'BSCyS Core', 'C'),</v>
      </c>
      <c r="F301" s="3" t="s">
        <v>1137</v>
      </c>
    </row>
    <row r="302" spans="1:6" x14ac:dyDescent="0.3">
      <c r="A302" s="1"/>
    </row>
    <row r="303" spans="1:6" x14ac:dyDescent="0.3">
      <c r="A303" s="1" t="s">
        <v>1035</v>
      </c>
      <c r="B303" s="1" t="s">
        <v>684</v>
      </c>
    </row>
    <row r="304" spans="1:6" x14ac:dyDescent="0.3">
      <c r="A304" s="1" t="s">
        <v>1034</v>
      </c>
      <c r="B304" s="1" t="s">
        <v>685</v>
      </c>
    </row>
    <row r="305" spans="1:2" x14ac:dyDescent="0.3">
      <c r="A305" s="1"/>
      <c r="B305" s="1" t="s">
        <v>687</v>
      </c>
    </row>
    <row r="306" spans="1:2" x14ac:dyDescent="0.3">
      <c r="A306" s="1"/>
      <c r="B306" s="1" t="s">
        <v>689</v>
      </c>
    </row>
    <row r="307" spans="1:2" x14ac:dyDescent="0.3">
      <c r="A307" s="1"/>
      <c r="B307" s="1" t="s">
        <v>688</v>
      </c>
    </row>
    <row r="308" spans="1:2" x14ac:dyDescent="0.3">
      <c r="A308" s="1"/>
      <c r="B308" s="1" t="s">
        <v>686</v>
      </c>
    </row>
    <row r="310" spans="1:2" x14ac:dyDescent="0.3">
      <c r="A310" s="1" t="s">
        <v>1043</v>
      </c>
      <c r="B310" s="1" t="s">
        <v>695</v>
      </c>
    </row>
    <row r="311" spans="1:2" x14ac:dyDescent="0.3">
      <c r="A311" s="1" t="s">
        <v>1034</v>
      </c>
      <c r="B311" s="1" t="s">
        <v>698</v>
      </c>
    </row>
    <row r="312" spans="1:2" x14ac:dyDescent="0.3">
      <c r="A312" s="1"/>
      <c r="B312" s="1" t="s">
        <v>838</v>
      </c>
    </row>
    <row r="313" spans="1:2" x14ac:dyDescent="0.3">
      <c r="A313" s="1"/>
      <c r="B313" s="1" t="s">
        <v>839</v>
      </c>
    </row>
    <row r="314" spans="1:2" x14ac:dyDescent="0.3">
      <c r="A314" s="1"/>
      <c r="B314" s="1" t="s">
        <v>702</v>
      </c>
    </row>
    <row r="315" spans="1:2" x14ac:dyDescent="0.3">
      <c r="A315" s="1"/>
      <c r="B315" s="1" t="s">
        <v>840</v>
      </c>
    </row>
    <row r="316" spans="1:2" x14ac:dyDescent="0.3">
      <c r="A316" s="1"/>
      <c r="B316" s="1" t="s">
        <v>684</v>
      </c>
    </row>
    <row r="317" spans="1:2" x14ac:dyDescent="0.3">
      <c r="A317" s="1"/>
      <c r="B317" s="1" t="s">
        <v>685</v>
      </c>
    </row>
    <row r="318" spans="1:2" x14ac:dyDescent="0.3">
      <c r="A318" s="1"/>
      <c r="B318" s="1" t="s">
        <v>697</v>
      </c>
    </row>
    <row r="319" spans="1:2" x14ac:dyDescent="0.3">
      <c r="A319" s="1"/>
      <c r="B319" s="1" t="s">
        <v>686</v>
      </c>
    </row>
    <row r="320" spans="1:2" x14ac:dyDescent="0.3">
      <c r="A320" s="1"/>
      <c r="B320" s="1" t="s">
        <v>687</v>
      </c>
    </row>
    <row r="321" spans="1:6" x14ac:dyDescent="0.3">
      <c r="A321" s="1"/>
      <c r="B321" s="1" t="s">
        <v>841</v>
      </c>
    </row>
    <row r="322" spans="1:6" x14ac:dyDescent="0.3">
      <c r="A322" s="1"/>
      <c r="B322" s="1" t="s">
        <v>688</v>
      </c>
    </row>
    <row r="323" spans="1:6" x14ac:dyDescent="0.3">
      <c r="A323" s="1"/>
      <c r="B323" s="1" t="s">
        <v>689</v>
      </c>
    </row>
    <row r="325" spans="1:6" x14ac:dyDescent="0.3">
      <c r="A325" s="1" t="s">
        <v>1046</v>
      </c>
      <c r="B325" s="1" t="s">
        <v>395</v>
      </c>
      <c r="D325" s="3" t="str">
        <f>"    (@MAJOR_BSIT, @COURSE_" &amp; MID(B325, 1, 3) &amp; "_" &amp; MID(B325, 5, 5) &amp; IF(ISERROR(FIND("L", B325, 5)), ",  ", ", ") &amp; "@CATALOG_2023_2024, 'BSIT Core', 'C'),"</f>
        <v xml:space="preserve">    (@MAJOR_BSIT, @COURSE_CEN_3722,  @CATALOG_2023_2024, 'BSIT Core', 'C'),</v>
      </c>
      <c r="E325" s="3" t="s">
        <v>852</v>
      </c>
      <c r="F325" s="3" t="s">
        <v>1138</v>
      </c>
    </row>
    <row r="326" spans="1:6" x14ac:dyDescent="0.3">
      <c r="A326" s="1"/>
      <c r="B326" s="1" t="s">
        <v>396</v>
      </c>
      <c r="D326" s="3" t="str">
        <f t="shared" ref="D326:D353" si="3">"    (@MAJOR_BSIT, @COURSE_" &amp; MID(B326, 1, 3) &amp; "_" &amp; MID(B326, 5, 5) &amp; IF(ISERROR(FIND("L", B326, 5)), ",  ", ", ") &amp; "@CATALOG_2023_2024, 'BSIT Core', 'C'),"</f>
        <v xml:space="preserve">    (@MAJOR_BSIT, @COURSE_CGS_1540,  @CATALOG_2023_2024, 'BSIT Core', 'C'),</v>
      </c>
      <c r="E326" s="3" t="s">
        <v>852</v>
      </c>
      <c r="F326" s="3" t="s">
        <v>1139</v>
      </c>
    </row>
    <row r="327" spans="1:6" x14ac:dyDescent="0.3">
      <c r="A327" s="1"/>
      <c r="B327" s="1" t="s">
        <v>397</v>
      </c>
      <c r="D327" s="3" t="str">
        <f t="shared" si="3"/>
        <v xml:space="preserve">    (@MAJOR_BSIT, @COURSE_CGS_3303,  @CATALOG_2023_2024, 'BSIT Core', 'C'),</v>
      </c>
      <c r="F327" s="3" t="s">
        <v>1140</v>
      </c>
    </row>
    <row r="328" spans="1:6" x14ac:dyDescent="0.3">
      <c r="A328" s="1"/>
      <c r="B328" s="1" t="s">
        <v>674</v>
      </c>
      <c r="D328" s="3" t="str">
        <f t="shared" si="3"/>
        <v xml:space="preserve">    (@MAJOR_BSIT, @COURSE_CGS_3853,  @CATALOG_2023_2024, 'BSIT Core', 'C'),</v>
      </c>
      <c r="F328" s="3" t="s">
        <v>1141</v>
      </c>
    </row>
    <row r="329" spans="1:6" x14ac:dyDescent="0.3">
      <c r="A329" s="1"/>
      <c r="B329" s="1" t="s">
        <v>670</v>
      </c>
      <c r="D329" s="3" t="str">
        <f t="shared" si="3"/>
        <v xml:space="preserve">    (@MAJOR_BSIT, @COURSE_CIS_3213,  @CATALOG_2023_2024, 'BSIT Core', 'C'),</v>
      </c>
      <c r="F329" s="3" t="s">
        <v>1142</v>
      </c>
    </row>
    <row r="330" spans="1:6" x14ac:dyDescent="0.3">
      <c r="A330" s="1"/>
      <c r="B330" s="1" t="s">
        <v>691</v>
      </c>
      <c r="D330" s="3" t="str">
        <f t="shared" si="3"/>
        <v xml:space="preserve">    (@MAJOR_BSIT, @COURSE_CIS_3433,  @CATALOG_2023_2024, 'BSIT Core', 'C'),</v>
      </c>
      <c r="F330" s="3" t="s">
        <v>1143</v>
      </c>
    </row>
    <row r="331" spans="1:6" x14ac:dyDescent="0.3">
      <c r="A331" s="1"/>
      <c r="B331" s="1" t="s">
        <v>692</v>
      </c>
      <c r="D331" s="3" t="str">
        <f t="shared" si="3"/>
        <v xml:space="preserve">    (@MAJOR_BSIT, @COURSE_CIS_4083,  @CATALOG_2023_2024, 'BSIT Core', 'C'),</v>
      </c>
      <c r="F331" s="3" t="s">
        <v>1144</v>
      </c>
    </row>
    <row r="332" spans="1:6" x14ac:dyDescent="0.3">
      <c r="A332" s="1"/>
      <c r="B332" s="1" t="s">
        <v>678</v>
      </c>
      <c r="D332" s="3" t="str">
        <f t="shared" si="3"/>
        <v xml:space="preserve">    (@MAJOR_BSIT, @COURSE_CIS_4935,  @CATALOG_2023_2024, 'BSIT Core', 'C'),</v>
      </c>
      <c r="F332" s="3" t="s">
        <v>1145</v>
      </c>
    </row>
    <row r="333" spans="1:6" x14ac:dyDescent="0.3">
      <c r="A333" s="1"/>
      <c r="B333" s="1" t="s">
        <v>466</v>
      </c>
      <c r="D333" s="3" t="str">
        <f t="shared" si="3"/>
        <v xml:space="preserve">    (@MAJOR_BSIT, @COURSE_CNT_4104,  @CATALOG_2023_2024, 'BSIT Core', 'C'),</v>
      </c>
      <c r="F333" s="3" t="s">
        <v>1146</v>
      </c>
    </row>
    <row r="334" spans="1:6" x14ac:dyDescent="0.3">
      <c r="A334" s="1"/>
      <c r="B334" s="1" t="s">
        <v>464</v>
      </c>
      <c r="D334" s="3" t="str">
        <f t="shared" si="3"/>
        <v xml:space="preserve">    (@MAJOR_BSIT, @COURSE_CNT_4104L, @CATALOG_2023_2024, 'BSIT Core', 'C'),</v>
      </c>
      <c r="F334" s="3" t="s">
        <v>1147</v>
      </c>
    </row>
    <row r="335" spans="1:6" x14ac:dyDescent="0.3">
      <c r="A335" s="1"/>
      <c r="B335" s="1" t="s">
        <v>694</v>
      </c>
      <c r="D335" s="3" t="str">
        <f t="shared" si="3"/>
        <v xml:space="preserve">    (@MAJOR_BSIT, @COURSE_CNT_4603,  @CATALOG_2023_2024, 'BSIT Core', 'C'),</v>
      </c>
      <c r="F335" s="3" t="s">
        <v>1148</v>
      </c>
    </row>
    <row r="336" spans="1:6" x14ac:dyDescent="0.3">
      <c r="A336" s="1"/>
      <c r="B336" s="1" t="s">
        <v>431</v>
      </c>
      <c r="D336" s="3" t="str">
        <f t="shared" si="3"/>
        <v xml:space="preserve">    (@MAJOR_BSIT, @COURSE_COP_2512,  @CATALOG_2023_2024, 'BSIT Core', 'C'),</v>
      </c>
      <c r="F336" s="3" t="s">
        <v>1149</v>
      </c>
    </row>
    <row r="337" spans="1:6" x14ac:dyDescent="0.3">
      <c r="A337" s="1"/>
      <c r="B337" s="1" t="s">
        <v>453</v>
      </c>
      <c r="D337" s="3" t="str">
        <f t="shared" si="3"/>
        <v xml:space="preserve">    (@MAJOR_BSIT, @COURSE_COP_2513,  @CATALOG_2023_2024, 'BSIT Core', 'C'),</v>
      </c>
      <c r="F337" s="3" t="s">
        <v>1150</v>
      </c>
    </row>
    <row r="338" spans="1:6" x14ac:dyDescent="0.3">
      <c r="A338" s="1"/>
      <c r="B338" s="1" t="s">
        <v>372</v>
      </c>
      <c r="D338" s="3" t="str">
        <f t="shared" si="3"/>
        <v xml:space="preserve">    (@MAJOR_BSIT, @COURSE_COP_3515,  @CATALOG_2023_2024, 'BSIT Core', 'C'),</v>
      </c>
      <c r="F338" s="3" t="s">
        <v>1151</v>
      </c>
    </row>
    <row r="339" spans="1:6" x14ac:dyDescent="0.3">
      <c r="A339" s="1"/>
      <c r="B339" s="1" t="s">
        <v>498</v>
      </c>
      <c r="D339" s="3" t="str">
        <f t="shared" si="3"/>
        <v xml:space="preserve">    (@MAJOR_BSIT, @COURSE_COP_4538,  @CATALOG_2023_2024, 'BSIT Core', 'C'),</v>
      </c>
      <c r="F339" s="3" t="s">
        <v>1152</v>
      </c>
    </row>
    <row r="340" spans="1:6" x14ac:dyDescent="0.3">
      <c r="A340" s="1"/>
      <c r="B340" s="1" t="s">
        <v>676</v>
      </c>
      <c r="D340" s="3" t="str">
        <f t="shared" si="3"/>
        <v xml:space="preserve">    (@MAJOR_BSIT, @COURSE_COP_4703,  @CATALOG_2023_2024, 'BSIT Core', 'C'),</v>
      </c>
      <c r="F340" s="3" t="s">
        <v>1153</v>
      </c>
    </row>
    <row r="341" spans="1:6" x14ac:dyDescent="0.3">
      <c r="A341" s="1"/>
      <c r="B341" s="1" t="s">
        <v>669</v>
      </c>
      <c r="D341" s="3" t="str">
        <f t="shared" si="3"/>
        <v xml:space="preserve">    (@MAJOR_BSIT, @COURSE_ECO_2013,  @CATALOG_2023_2024, 'BSIT Core', 'C'),</v>
      </c>
      <c r="F341" s="3" t="s">
        <v>1154</v>
      </c>
    </row>
    <row r="342" spans="1:6" x14ac:dyDescent="0.3">
      <c r="A342" s="1"/>
      <c r="B342" s="1" t="s">
        <v>614</v>
      </c>
      <c r="D342" s="3" t="str">
        <f t="shared" si="3"/>
        <v xml:space="preserve">    (@MAJOR_BSIT, @COURSE_EGN_3000,  @CATALOG_2023_2024, 'BSIT Core', 'C'),</v>
      </c>
      <c r="F342" s="3" t="s">
        <v>1155</v>
      </c>
    </row>
    <row r="343" spans="1:6" x14ac:dyDescent="0.3">
      <c r="A343" s="1"/>
      <c r="B343" s="1" t="s">
        <v>613</v>
      </c>
      <c r="D343" s="3" t="str">
        <f t="shared" si="3"/>
        <v xml:space="preserve">    (@MAJOR_BSIT, @COURSE_EGN_3000L, @CATALOG_2023_2024, 'BSIT Core', 'C'),</v>
      </c>
      <c r="F343" s="3" t="s">
        <v>1156</v>
      </c>
    </row>
    <row r="344" spans="1:6" x14ac:dyDescent="0.3">
      <c r="A344" s="1"/>
      <c r="B344" s="1" t="s">
        <v>7</v>
      </c>
      <c r="D344" s="3" t="str">
        <f t="shared" si="3"/>
        <v xml:space="preserve">    (@MAJOR_BSIT, @COURSE_ENC_1101,  @CATALOG_2023_2024, 'BSIT Core', 'C'),</v>
      </c>
      <c r="F344" s="3" t="s">
        <v>1157</v>
      </c>
    </row>
    <row r="345" spans="1:6" x14ac:dyDescent="0.3">
      <c r="A345" s="1"/>
      <c r="B345" s="1" t="s">
        <v>538</v>
      </c>
      <c r="D345" s="3" t="str">
        <f t="shared" si="3"/>
        <v xml:space="preserve">    (@MAJOR_BSIT, @COURSE_ENC_1102,  @CATALOG_2023_2024, 'BSIT Core', 'C'),</v>
      </c>
      <c r="F345" s="3" t="s">
        <v>1158</v>
      </c>
    </row>
    <row r="346" spans="1:6" x14ac:dyDescent="0.3">
      <c r="A346" s="1"/>
      <c r="B346" s="1" t="s">
        <v>628</v>
      </c>
      <c r="D346" s="3" t="str">
        <f t="shared" si="3"/>
        <v xml:space="preserve">    (@MAJOR_BSIT, @COURSE_ENC_3246,  @CATALOG_2023_2024, 'BSIT Core', 'C'),</v>
      </c>
      <c r="F346" s="3" t="s">
        <v>1159</v>
      </c>
    </row>
    <row r="347" spans="1:6" x14ac:dyDescent="0.3">
      <c r="A347" s="1"/>
      <c r="B347" s="1" t="s">
        <v>690</v>
      </c>
      <c r="D347" s="3" t="str">
        <f t="shared" si="3"/>
        <v xml:space="preserve">    (@MAJOR_BSIT, @COURSE_INR_3033,  @CATALOG_2023_2024, 'BSIT Core', 'C'),</v>
      </c>
      <c r="F347" s="3" t="s">
        <v>1160</v>
      </c>
    </row>
    <row r="348" spans="1:6" x14ac:dyDescent="0.3">
      <c r="A348" s="1"/>
      <c r="B348" s="1" t="s">
        <v>559</v>
      </c>
      <c r="D348" s="3" t="str">
        <f t="shared" si="3"/>
        <v xml:space="preserve">    (@MAJOR_BSIT, @COURSE_MAC_1147,  @CATALOG_2023_2024, 'BSIT Core', 'C'),</v>
      </c>
      <c r="F348" s="3" t="s">
        <v>1161</v>
      </c>
    </row>
    <row r="349" spans="1:6" x14ac:dyDescent="0.3">
      <c r="A349" s="1"/>
      <c r="B349" s="1" t="s">
        <v>434</v>
      </c>
      <c r="D349" s="3" t="str">
        <f t="shared" si="3"/>
        <v xml:space="preserve">    (@MAJOR_BSIT, @COURSE_MAD_2104,  @CATALOG_2023_2024, 'BSIT Core', 'C'),</v>
      </c>
      <c r="F349" s="3" t="s">
        <v>1162</v>
      </c>
    </row>
    <row r="350" spans="1:6" x14ac:dyDescent="0.3">
      <c r="A350" s="1"/>
      <c r="B350" s="1" t="s">
        <v>0</v>
      </c>
      <c r="D350" s="3" t="str">
        <f t="shared" si="3"/>
        <v xml:space="preserve">    (@MAJOR_BSIT, @COURSE_Nat_ral S,  @CATALOG_2023_2024, 'BSIT Core', 'C'),</v>
      </c>
      <c r="F350" s="3" t="s">
        <v>1163</v>
      </c>
    </row>
    <row r="351" spans="1:6" x14ac:dyDescent="0.3">
      <c r="A351" s="1"/>
      <c r="B351" s="1" t="s">
        <v>666</v>
      </c>
      <c r="D351" s="3" t="str">
        <f t="shared" si="3"/>
        <v xml:space="preserve">    (@MAJOR_BSIT, @COURSE_PHY_2020,  @CATALOG_2023_2024, 'BSIT Core', 'C'),</v>
      </c>
      <c r="F351" s="3" t="s">
        <v>1164</v>
      </c>
    </row>
    <row r="352" spans="1:6" x14ac:dyDescent="0.3">
      <c r="A352" s="1"/>
      <c r="B352" s="1" t="s">
        <v>668</v>
      </c>
      <c r="D352" s="3" t="str">
        <f t="shared" si="3"/>
        <v xml:space="preserve">    (@MAJOR_BSIT, @COURSE_PSY_2012,  @CATALOG_2023_2024, 'BSIT Core', 'C'),</v>
      </c>
      <c r="F352" s="3" t="s">
        <v>1165</v>
      </c>
    </row>
    <row r="353" spans="1:6" x14ac:dyDescent="0.3">
      <c r="A353" s="1"/>
      <c r="B353" s="1" t="s">
        <v>665</v>
      </c>
      <c r="D353" s="3" t="str">
        <f t="shared" si="3"/>
        <v xml:space="preserve">    (@MAJOR_BSIT, @COURSE_STA_2023,  @CATALOG_2023_2024, 'BSIT Core', 'C'),</v>
      </c>
      <c r="F353" s="3" t="s">
        <v>1166</v>
      </c>
    </row>
    <row r="354" spans="1:6" x14ac:dyDescent="0.3">
      <c r="A354" s="1"/>
    </row>
    <row r="355" spans="1:6" x14ac:dyDescent="0.3">
      <c r="A355" s="1"/>
    </row>
    <row r="356" spans="1:6" x14ac:dyDescent="0.3">
      <c r="A356" s="1" t="s">
        <v>1047</v>
      </c>
      <c r="B356" s="1" t="s">
        <v>693</v>
      </c>
    </row>
    <row r="357" spans="1:6" x14ac:dyDescent="0.3">
      <c r="A357" s="1"/>
    </row>
    <row r="358" spans="1:6" x14ac:dyDescent="0.3">
      <c r="A358" s="3" t="s">
        <v>1048</v>
      </c>
      <c r="B358" s="1" t="s">
        <v>693</v>
      </c>
    </row>
    <row r="359" spans="1:6" x14ac:dyDescent="0.3">
      <c r="B359" s="1" t="s">
        <v>677</v>
      </c>
    </row>
    <row r="360" spans="1:6" x14ac:dyDescent="0.3">
      <c r="A360" s="1"/>
    </row>
    <row r="361" spans="1:6" x14ac:dyDescent="0.3">
      <c r="A361" s="1" t="s">
        <v>1037</v>
      </c>
      <c r="B361" s="1" t="s">
        <v>695</v>
      </c>
    </row>
    <row r="362" spans="1:6" x14ac:dyDescent="0.3">
      <c r="A362" s="1" t="s">
        <v>1036</v>
      </c>
      <c r="B362" s="1" t="s">
        <v>696</v>
      </c>
    </row>
    <row r="363" spans="1:6" x14ac:dyDescent="0.3">
      <c r="A363" s="1"/>
      <c r="B363" s="1" t="s">
        <v>671</v>
      </c>
    </row>
    <row r="364" spans="1:6" x14ac:dyDescent="0.3">
      <c r="A364" s="1"/>
      <c r="B364" s="1" t="s">
        <v>697</v>
      </c>
    </row>
    <row r="365" spans="1:6" x14ac:dyDescent="0.3">
      <c r="A365" s="1"/>
      <c r="B365" s="1" t="s">
        <v>698</v>
      </c>
    </row>
    <row r="366" spans="1:6" x14ac:dyDescent="0.3">
      <c r="A366" s="1"/>
      <c r="B366" s="1" t="s">
        <v>675</v>
      </c>
    </row>
    <row r="367" spans="1:6" x14ac:dyDescent="0.3">
      <c r="A367" s="1"/>
      <c r="B367" s="1" t="s">
        <v>468</v>
      </c>
    </row>
    <row r="368" spans="1:6" x14ac:dyDescent="0.3">
      <c r="A368" s="1"/>
      <c r="B368" s="1" t="s">
        <v>699</v>
      </c>
    </row>
    <row r="369" spans="1:2" x14ac:dyDescent="0.3">
      <c r="A369" s="1"/>
      <c r="B369" s="1" t="s">
        <v>700</v>
      </c>
    </row>
    <row r="370" spans="1:2" x14ac:dyDescent="0.3">
      <c r="A370" s="1"/>
      <c r="B370" s="1" t="s">
        <v>702</v>
      </c>
    </row>
    <row r="371" spans="1:2" x14ac:dyDescent="0.3">
      <c r="A371" s="1"/>
      <c r="B371" s="1" t="s">
        <v>701</v>
      </c>
    </row>
    <row r="373" spans="1:2" x14ac:dyDescent="0.3">
      <c r="A373" s="1" t="s">
        <v>1044</v>
      </c>
      <c r="B373" s="1" t="s">
        <v>695</v>
      </c>
    </row>
    <row r="374" spans="1:2" x14ac:dyDescent="0.3">
      <c r="A374" s="1" t="s">
        <v>1036</v>
      </c>
      <c r="B374" s="1" t="s">
        <v>698</v>
      </c>
    </row>
    <row r="375" spans="1:2" x14ac:dyDescent="0.3">
      <c r="A375" s="1"/>
      <c r="B375" s="1" t="s">
        <v>838</v>
      </c>
    </row>
    <row r="376" spans="1:2" x14ac:dyDescent="0.3">
      <c r="A376" s="1"/>
      <c r="B376" s="1" t="s">
        <v>468</v>
      </c>
    </row>
    <row r="377" spans="1:2" x14ac:dyDescent="0.3">
      <c r="A377" s="1"/>
      <c r="B377" s="1" t="s">
        <v>700</v>
      </c>
    </row>
    <row r="378" spans="1:2" x14ac:dyDescent="0.3">
      <c r="A378" s="1"/>
      <c r="B378" s="1" t="s">
        <v>702</v>
      </c>
    </row>
    <row r="379" spans="1:2" x14ac:dyDescent="0.3">
      <c r="A379" s="1"/>
      <c r="B379" s="1" t="s">
        <v>840</v>
      </c>
    </row>
    <row r="400" spans="1:55" x14ac:dyDescent="0.3">
      <c r="A400" s="3" t="s">
        <v>1199</v>
      </c>
      <c r="B400" s="3" t="s">
        <v>1202</v>
      </c>
      <c r="C400" s="3" t="s">
        <v>1203</v>
      </c>
      <c r="D400" s="3" t="s">
        <v>1204</v>
      </c>
      <c r="E400" s="3" t="s">
        <v>1205</v>
      </c>
      <c r="F400" s="3" t="s">
        <v>1206</v>
      </c>
      <c r="G400" s="3" t="s">
        <v>1207</v>
      </c>
      <c r="H400" s="3" t="s">
        <v>1208</v>
      </c>
      <c r="I400" s="3" t="s">
        <v>1210</v>
      </c>
      <c r="J400" s="3" t="s">
        <v>1211</v>
      </c>
      <c r="L400" s="3" t="s">
        <v>1212</v>
      </c>
      <c r="M400" s="3" t="s">
        <v>1215</v>
      </c>
      <c r="N400" s="3" t="s">
        <v>1216</v>
      </c>
      <c r="O400" s="3" t="s">
        <v>1217</v>
      </c>
      <c r="P400" s="3" t="s">
        <v>1218</v>
      </c>
      <c r="Q400" s="3" t="s">
        <v>1219</v>
      </c>
      <c r="R400" s="3" t="s">
        <v>1220</v>
      </c>
      <c r="S400" s="3" t="s">
        <v>1221</v>
      </c>
      <c r="T400" s="3" t="s">
        <v>1223</v>
      </c>
      <c r="U400" s="3" t="s">
        <v>1224</v>
      </c>
      <c r="W400" s="3" t="s">
        <v>1225</v>
      </c>
      <c r="X400" s="3" t="s">
        <v>1228</v>
      </c>
      <c r="Y400" s="3" t="s">
        <v>1229</v>
      </c>
      <c r="Z400" s="3" t="s">
        <v>1230</v>
      </c>
      <c r="AA400" s="3" t="s">
        <v>1231</v>
      </c>
      <c r="AB400" s="3" t="s">
        <v>1233</v>
      </c>
      <c r="AD400" s="3" t="s">
        <v>1234</v>
      </c>
      <c r="AE400" s="3" t="s">
        <v>1237</v>
      </c>
      <c r="AF400" s="3" t="s">
        <v>1238</v>
      </c>
      <c r="AG400" s="3" t="s">
        <v>1239</v>
      </c>
      <c r="AH400" s="3" t="s">
        <v>1240</v>
      </c>
      <c r="AI400" s="3" t="s">
        <v>1242</v>
      </c>
      <c r="AJ400" s="3" t="s">
        <v>1243</v>
      </c>
      <c r="AK400" s="3" t="s">
        <v>1244</v>
      </c>
      <c r="AM400" s="3" t="s">
        <v>1245</v>
      </c>
      <c r="AN400" s="3" t="s">
        <v>1248</v>
      </c>
      <c r="AO400" s="3" t="s">
        <v>1250</v>
      </c>
      <c r="AQ400" s="3" t="s">
        <v>1251</v>
      </c>
      <c r="AR400" s="3" t="s">
        <v>1254</v>
      </c>
      <c r="AS400" s="3" t="s">
        <v>1256</v>
      </c>
      <c r="AU400" s="3" t="s">
        <v>1257</v>
      </c>
      <c r="AV400" s="3" t="s">
        <v>1260</v>
      </c>
      <c r="AW400" s="3" t="s">
        <v>1262</v>
      </c>
      <c r="AX400" s="3" t="s">
        <v>1263</v>
      </c>
      <c r="AZ400" s="3" t="s">
        <v>1264</v>
      </c>
      <c r="BA400" s="3" t="s">
        <v>1267</v>
      </c>
      <c r="BB400" s="3" t="s">
        <v>1269</v>
      </c>
      <c r="BC400" s="3" t="s">
        <v>1270</v>
      </c>
    </row>
    <row r="401" spans="1:55" x14ac:dyDescent="0.3">
      <c r="A401" s="3" t="s">
        <v>1271</v>
      </c>
      <c r="B401" s="3" t="s">
        <v>1277</v>
      </c>
      <c r="C401" s="3" t="s">
        <v>511</v>
      </c>
      <c r="D401" s="3" t="s">
        <v>532</v>
      </c>
      <c r="E401" s="3" t="s">
        <v>606</v>
      </c>
      <c r="F401" s="3" t="s">
        <v>608</v>
      </c>
      <c r="G401" s="3" t="s">
        <v>406</v>
      </c>
      <c r="H401" s="3" t="s">
        <v>610</v>
      </c>
      <c r="I401" s="1" t="s">
        <v>650</v>
      </c>
      <c r="J401" s="1" t="s">
        <v>630</v>
      </c>
      <c r="L401" s="3" t="s">
        <v>1271</v>
      </c>
      <c r="M401" s="3" t="s">
        <v>1277</v>
      </c>
      <c r="N401" s="3" t="s">
        <v>511</v>
      </c>
      <c r="O401" s="3" t="s">
        <v>532</v>
      </c>
      <c r="P401" s="3" t="s">
        <v>606</v>
      </c>
      <c r="Q401" s="3" t="s">
        <v>608</v>
      </c>
      <c r="R401" s="3" t="s">
        <v>406</v>
      </c>
      <c r="S401" s="3" t="s">
        <v>610</v>
      </c>
      <c r="T401" s="1" t="s">
        <v>650</v>
      </c>
      <c r="U401" s="1" t="s">
        <v>630</v>
      </c>
      <c r="W401" s="3" t="s">
        <v>1271</v>
      </c>
      <c r="X401" s="3" t="s">
        <v>1277</v>
      </c>
      <c r="Y401" s="3" t="s">
        <v>511</v>
      </c>
      <c r="Z401" s="3" t="s">
        <v>532</v>
      </c>
      <c r="AA401" s="3" t="s">
        <v>606</v>
      </c>
      <c r="AB401" s="1" t="s">
        <v>630</v>
      </c>
      <c r="AD401" s="3" t="s">
        <v>1271</v>
      </c>
      <c r="AE401" s="3" t="s">
        <v>1277</v>
      </c>
      <c r="AF401" s="3" t="s">
        <v>511</v>
      </c>
      <c r="AG401" s="3" t="s">
        <v>532</v>
      </c>
      <c r="AH401" s="3" t="s">
        <v>606</v>
      </c>
      <c r="AI401" s="1" t="s">
        <v>630</v>
      </c>
      <c r="AJ401" s="1" t="s">
        <v>655</v>
      </c>
      <c r="AK401" s="1" t="s">
        <v>630</v>
      </c>
      <c r="AM401" s="3" t="s">
        <v>1271</v>
      </c>
      <c r="AN401" s="3" t="s">
        <v>1277</v>
      </c>
      <c r="AO401" s="1" t="s">
        <v>684</v>
      </c>
      <c r="AQ401" s="3" t="s">
        <v>1271</v>
      </c>
      <c r="AR401" s="3" t="s">
        <v>1277</v>
      </c>
      <c r="AS401" s="1" t="s">
        <v>695</v>
      </c>
      <c r="AU401" s="3" t="s">
        <v>1271</v>
      </c>
      <c r="AV401" s="3" t="s">
        <v>1277</v>
      </c>
      <c r="AW401" s="1" t="s">
        <v>693</v>
      </c>
      <c r="AX401" s="1" t="s">
        <v>695</v>
      </c>
      <c r="AZ401" s="3" t="s">
        <v>1271</v>
      </c>
      <c r="BA401" s="3" t="s">
        <v>1277</v>
      </c>
      <c r="BC401" s="1" t="s">
        <v>695</v>
      </c>
    </row>
    <row r="402" spans="1:55" x14ac:dyDescent="0.3">
      <c r="A402" s="3" t="s">
        <v>1272</v>
      </c>
      <c r="B402" s="3" t="s">
        <v>1278</v>
      </c>
      <c r="C402" s="3" t="s">
        <v>604</v>
      </c>
      <c r="D402" s="3" t="s">
        <v>605</v>
      </c>
      <c r="E402" s="3" t="s">
        <v>607</v>
      </c>
      <c r="F402" s="3" t="s">
        <v>609</v>
      </c>
      <c r="G402" s="3" t="s">
        <v>407</v>
      </c>
      <c r="H402" s="3" t="s">
        <v>611</v>
      </c>
      <c r="I402" s="1" t="s">
        <v>651</v>
      </c>
      <c r="J402" s="1" t="s">
        <v>631</v>
      </c>
      <c r="L402" s="3" t="s">
        <v>1272</v>
      </c>
      <c r="M402" s="3" t="s">
        <v>1278</v>
      </c>
      <c r="N402" s="3" t="s">
        <v>604</v>
      </c>
      <c r="O402" s="3" t="s">
        <v>605</v>
      </c>
      <c r="P402" s="3" t="s">
        <v>607</v>
      </c>
      <c r="Q402" s="3" t="s">
        <v>609</v>
      </c>
      <c r="R402" s="3" t="s">
        <v>407</v>
      </c>
      <c r="S402" s="3" t="s">
        <v>611</v>
      </c>
      <c r="T402" s="1" t="s">
        <v>820</v>
      </c>
      <c r="U402" s="1" t="s">
        <v>822</v>
      </c>
      <c r="W402" s="3" t="s">
        <v>1272</v>
      </c>
      <c r="X402" s="3" t="s">
        <v>1278</v>
      </c>
      <c r="Y402" s="3" t="s">
        <v>604</v>
      </c>
      <c r="Z402" s="3" t="s">
        <v>605</v>
      </c>
      <c r="AA402" s="3" t="s">
        <v>607</v>
      </c>
      <c r="AB402" s="1" t="s">
        <v>631</v>
      </c>
      <c r="AD402" s="3" t="s">
        <v>1272</v>
      </c>
      <c r="AE402" s="3" t="s">
        <v>1278</v>
      </c>
      <c r="AF402" s="3" t="s">
        <v>604</v>
      </c>
      <c r="AG402" s="3" t="s">
        <v>605</v>
      </c>
      <c r="AH402" s="3" t="s">
        <v>607</v>
      </c>
      <c r="AI402" s="1" t="s">
        <v>822</v>
      </c>
      <c r="AJ402" s="1" t="s">
        <v>653</v>
      </c>
      <c r="AK402" s="1" t="s">
        <v>822</v>
      </c>
      <c r="AM402" s="3" t="s">
        <v>1272</v>
      </c>
      <c r="AN402" s="3" t="s">
        <v>1278</v>
      </c>
      <c r="AO402" s="1" t="s">
        <v>685</v>
      </c>
      <c r="AQ402" s="3" t="s">
        <v>1272</v>
      </c>
      <c r="AR402" s="3" t="s">
        <v>1278</v>
      </c>
      <c r="AS402" s="1" t="s">
        <v>698</v>
      </c>
      <c r="AU402" s="3" t="s">
        <v>1272</v>
      </c>
      <c r="AV402" s="3" t="s">
        <v>1278</v>
      </c>
      <c r="AX402" s="1" t="s">
        <v>696</v>
      </c>
      <c r="AZ402" s="3" t="s">
        <v>1272</v>
      </c>
      <c r="BA402" s="3" t="s">
        <v>1278</v>
      </c>
      <c r="BB402" s="1" t="s">
        <v>693</v>
      </c>
      <c r="BC402" s="1" t="s">
        <v>698</v>
      </c>
    </row>
    <row r="403" spans="1:55" x14ac:dyDescent="0.3">
      <c r="A403" s="3" t="s">
        <v>1273</v>
      </c>
      <c r="B403" s="3" t="s">
        <v>669</v>
      </c>
      <c r="I403" s="1" t="s">
        <v>652</v>
      </c>
      <c r="J403" s="1" t="s">
        <v>632</v>
      </c>
      <c r="L403" s="3" t="s">
        <v>1273</v>
      </c>
      <c r="M403" s="3" t="s">
        <v>669</v>
      </c>
      <c r="T403" s="1" t="s">
        <v>651</v>
      </c>
      <c r="U403" s="1" t="s">
        <v>632</v>
      </c>
      <c r="W403" s="3" t="s">
        <v>1273</v>
      </c>
      <c r="X403" s="3" t="s">
        <v>669</v>
      </c>
      <c r="AB403" s="1" t="s">
        <v>632</v>
      </c>
      <c r="AD403" s="3" t="s">
        <v>1273</v>
      </c>
      <c r="AE403" s="3" t="s">
        <v>669</v>
      </c>
      <c r="AI403" s="1" t="s">
        <v>632</v>
      </c>
      <c r="AJ403" s="1" t="s">
        <v>654</v>
      </c>
      <c r="AK403" s="1" t="s">
        <v>632</v>
      </c>
      <c r="AM403" s="3" t="s">
        <v>1273</v>
      </c>
      <c r="AN403" s="3" t="s">
        <v>669</v>
      </c>
      <c r="AO403" s="1" t="s">
        <v>687</v>
      </c>
      <c r="AQ403" s="3" t="s">
        <v>1273</v>
      </c>
      <c r="AR403" s="3" t="s">
        <v>669</v>
      </c>
      <c r="AS403" s="1" t="s">
        <v>838</v>
      </c>
      <c r="AU403" s="3" t="s">
        <v>1273</v>
      </c>
      <c r="AV403" s="3" t="s">
        <v>669</v>
      </c>
      <c r="AX403" s="1" t="s">
        <v>671</v>
      </c>
      <c r="AZ403" s="3" t="s">
        <v>1273</v>
      </c>
      <c r="BA403" s="3" t="s">
        <v>669</v>
      </c>
      <c r="BB403" s="1" t="s">
        <v>677</v>
      </c>
      <c r="BC403" s="1" t="s">
        <v>838</v>
      </c>
    </row>
    <row r="404" spans="1:55" x14ac:dyDescent="0.3">
      <c r="A404" s="3" t="s">
        <v>1274</v>
      </c>
      <c r="B404" s="3" t="s">
        <v>1279</v>
      </c>
      <c r="J404" s="1" t="s">
        <v>633</v>
      </c>
      <c r="L404" s="3" t="s">
        <v>1274</v>
      </c>
      <c r="M404" s="3" t="s">
        <v>1279</v>
      </c>
      <c r="T404" s="1" t="s">
        <v>652</v>
      </c>
      <c r="U404" s="1" t="s">
        <v>823</v>
      </c>
      <c r="W404" s="3" t="s">
        <v>1274</v>
      </c>
      <c r="X404" s="3" t="s">
        <v>1279</v>
      </c>
      <c r="AB404" s="1" t="s">
        <v>633</v>
      </c>
      <c r="AD404" s="3" t="s">
        <v>1274</v>
      </c>
      <c r="AE404" s="3" t="s">
        <v>1279</v>
      </c>
      <c r="AI404" s="1" t="s">
        <v>823</v>
      </c>
      <c r="AJ404" s="1" t="s">
        <v>830</v>
      </c>
      <c r="AK404" s="1" t="s">
        <v>823</v>
      </c>
      <c r="AM404" s="3" t="s">
        <v>1274</v>
      </c>
      <c r="AN404" s="3" t="s">
        <v>1279</v>
      </c>
      <c r="AO404" s="1" t="s">
        <v>689</v>
      </c>
      <c r="AQ404" s="3" t="s">
        <v>1274</v>
      </c>
      <c r="AR404" s="3" t="s">
        <v>1279</v>
      </c>
      <c r="AS404" s="1" t="s">
        <v>839</v>
      </c>
      <c r="AU404" s="3" t="s">
        <v>1274</v>
      </c>
      <c r="AV404" s="3" t="s">
        <v>1279</v>
      </c>
      <c r="AX404" s="1" t="s">
        <v>697</v>
      </c>
      <c r="AZ404" s="3" t="s">
        <v>1274</v>
      </c>
      <c r="BA404" s="3" t="s">
        <v>1279</v>
      </c>
      <c r="BC404" s="1" t="s">
        <v>468</v>
      </c>
    </row>
    <row r="405" spans="1:55" x14ac:dyDescent="0.3">
      <c r="A405" s="3" t="s">
        <v>1275</v>
      </c>
      <c r="B405" s="3" t="s">
        <v>668</v>
      </c>
      <c r="J405" s="1" t="s">
        <v>634</v>
      </c>
      <c r="L405" s="3" t="s">
        <v>1275</v>
      </c>
      <c r="M405" s="3" t="s">
        <v>668</v>
      </c>
      <c r="U405" s="1" t="s">
        <v>633</v>
      </c>
      <c r="W405" s="3" t="s">
        <v>1275</v>
      </c>
      <c r="X405" s="3" t="s">
        <v>668</v>
      </c>
      <c r="AB405" s="1" t="s">
        <v>634</v>
      </c>
      <c r="AD405" s="3" t="s">
        <v>1275</v>
      </c>
      <c r="AE405" s="3" t="s">
        <v>668</v>
      </c>
      <c r="AI405" s="1" t="s">
        <v>633</v>
      </c>
      <c r="AK405" s="1" t="s">
        <v>633</v>
      </c>
      <c r="AM405" s="3" t="s">
        <v>1275</v>
      </c>
      <c r="AN405" s="3" t="s">
        <v>668</v>
      </c>
      <c r="AO405" s="1" t="s">
        <v>688</v>
      </c>
      <c r="AQ405" s="3" t="s">
        <v>1275</v>
      </c>
      <c r="AR405" s="3" t="s">
        <v>668</v>
      </c>
      <c r="AS405" s="1" t="s">
        <v>702</v>
      </c>
      <c r="AU405" s="3" t="s">
        <v>1275</v>
      </c>
      <c r="AV405" s="3" t="s">
        <v>668</v>
      </c>
      <c r="AX405" s="1" t="s">
        <v>698</v>
      </c>
      <c r="AZ405" s="3" t="s">
        <v>1275</v>
      </c>
      <c r="BA405" s="3" t="s">
        <v>668</v>
      </c>
      <c r="BC405" s="1" t="s">
        <v>700</v>
      </c>
    </row>
    <row r="406" spans="1:55" x14ac:dyDescent="0.3">
      <c r="A406" s="3" t="s">
        <v>1276</v>
      </c>
      <c r="B406" s="3" t="s">
        <v>1280</v>
      </c>
      <c r="J406" s="1" t="s">
        <v>635</v>
      </c>
      <c r="L406" s="3" t="s">
        <v>1276</v>
      </c>
      <c r="M406" s="3" t="s">
        <v>1280</v>
      </c>
      <c r="U406" s="1" t="s">
        <v>634</v>
      </c>
      <c r="W406" s="3" t="s">
        <v>1276</v>
      </c>
      <c r="X406" s="3" t="s">
        <v>1280</v>
      </c>
      <c r="AB406" s="1" t="s">
        <v>635</v>
      </c>
      <c r="AD406" s="3" t="s">
        <v>1276</v>
      </c>
      <c r="AE406" s="3" t="s">
        <v>1280</v>
      </c>
      <c r="AI406" s="1" t="s">
        <v>634</v>
      </c>
      <c r="AK406" s="1" t="s">
        <v>634</v>
      </c>
      <c r="AM406" s="3" t="s">
        <v>1276</v>
      </c>
      <c r="AN406" s="3" t="s">
        <v>1280</v>
      </c>
      <c r="AO406" s="1" t="s">
        <v>686</v>
      </c>
      <c r="AQ406" s="3" t="s">
        <v>1276</v>
      </c>
      <c r="AR406" s="3" t="s">
        <v>1280</v>
      </c>
      <c r="AS406" s="1" t="s">
        <v>840</v>
      </c>
      <c r="AU406" s="3" t="s">
        <v>1276</v>
      </c>
      <c r="AV406" s="3" t="s">
        <v>1280</v>
      </c>
      <c r="AX406" s="1" t="s">
        <v>675</v>
      </c>
      <c r="AZ406" s="3" t="s">
        <v>1276</v>
      </c>
      <c r="BA406" s="3" t="s">
        <v>1280</v>
      </c>
      <c r="BC406" s="1" t="s">
        <v>702</v>
      </c>
    </row>
    <row r="407" spans="1:55" x14ac:dyDescent="0.3">
      <c r="J407" s="1" t="s">
        <v>650</v>
      </c>
      <c r="U407" s="1" t="s">
        <v>824</v>
      </c>
      <c r="AB407" s="1" t="s">
        <v>392</v>
      </c>
      <c r="AI407" s="1" t="s">
        <v>824</v>
      </c>
      <c r="AK407" s="1" t="s">
        <v>825</v>
      </c>
      <c r="AS407" s="1" t="s">
        <v>684</v>
      </c>
      <c r="AX407" s="1" t="s">
        <v>468</v>
      </c>
      <c r="BC407" s="1" t="s">
        <v>840</v>
      </c>
    </row>
    <row r="408" spans="1:55" x14ac:dyDescent="0.3">
      <c r="J408" s="1" t="s">
        <v>651</v>
      </c>
      <c r="U408" s="1" t="s">
        <v>825</v>
      </c>
      <c r="AB408" s="1" t="s">
        <v>621</v>
      </c>
      <c r="AI408" s="1" t="s">
        <v>825</v>
      </c>
      <c r="AK408" s="1" t="s">
        <v>835</v>
      </c>
      <c r="AS408" s="1" t="s">
        <v>685</v>
      </c>
      <c r="AX408" s="1" t="s">
        <v>699</v>
      </c>
    </row>
    <row r="409" spans="1:55" x14ac:dyDescent="0.3">
      <c r="J409" s="1" t="s">
        <v>652</v>
      </c>
      <c r="U409" s="1" t="s">
        <v>826</v>
      </c>
      <c r="AB409" s="1" t="s">
        <v>394</v>
      </c>
      <c r="AI409" s="1" t="s">
        <v>826</v>
      </c>
      <c r="AK409" s="1" t="s">
        <v>826</v>
      </c>
      <c r="AS409" s="1" t="s">
        <v>697</v>
      </c>
      <c r="AX409" s="1" t="s">
        <v>700</v>
      </c>
    </row>
    <row r="410" spans="1:55" x14ac:dyDescent="0.3">
      <c r="J410" s="1" t="s">
        <v>636</v>
      </c>
      <c r="U410" s="1" t="s">
        <v>635</v>
      </c>
      <c r="AB410" s="1" t="s">
        <v>623</v>
      </c>
      <c r="AI410" s="1" t="s">
        <v>635</v>
      </c>
      <c r="AK410" s="1" t="s">
        <v>635</v>
      </c>
      <c r="AS410" s="1" t="s">
        <v>686</v>
      </c>
      <c r="AX410" s="1" t="s">
        <v>702</v>
      </c>
    </row>
    <row r="411" spans="1:55" x14ac:dyDescent="0.3">
      <c r="J411" s="1" t="s">
        <v>637</v>
      </c>
      <c r="U411" s="1" t="s">
        <v>827</v>
      </c>
      <c r="AB411" s="1" t="s">
        <v>650</v>
      </c>
      <c r="AI411" s="1" t="s">
        <v>827</v>
      </c>
      <c r="AK411" s="1" t="s">
        <v>827</v>
      </c>
      <c r="AS411" s="1" t="s">
        <v>687</v>
      </c>
      <c r="AX411" s="1" t="s">
        <v>701</v>
      </c>
    </row>
    <row r="412" spans="1:55" x14ac:dyDescent="0.3">
      <c r="J412" s="1" t="s">
        <v>655</v>
      </c>
      <c r="U412" s="1" t="s">
        <v>650</v>
      </c>
      <c r="AB412" s="1" t="s">
        <v>651</v>
      </c>
      <c r="AI412" s="1" t="s">
        <v>652</v>
      </c>
      <c r="AK412" s="1" t="s">
        <v>392</v>
      </c>
      <c r="AS412" s="1" t="s">
        <v>841</v>
      </c>
    </row>
    <row r="413" spans="1:55" x14ac:dyDescent="0.3">
      <c r="J413" s="1" t="s">
        <v>656</v>
      </c>
      <c r="U413" s="1" t="s">
        <v>820</v>
      </c>
      <c r="AB413" s="1" t="s">
        <v>652</v>
      </c>
      <c r="AI413" s="1" t="s">
        <v>637</v>
      </c>
      <c r="AK413" s="1" t="s">
        <v>621</v>
      </c>
      <c r="AS413" s="1" t="s">
        <v>688</v>
      </c>
    </row>
    <row r="414" spans="1:55" x14ac:dyDescent="0.3">
      <c r="J414" s="1" t="s">
        <v>638</v>
      </c>
      <c r="U414" s="1" t="s">
        <v>651</v>
      </c>
      <c r="AB414" s="1" t="s">
        <v>637</v>
      </c>
      <c r="AI414" s="1" t="s">
        <v>656</v>
      </c>
      <c r="AK414" s="1" t="s">
        <v>394</v>
      </c>
      <c r="AS414" s="1" t="s">
        <v>689</v>
      </c>
    </row>
    <row r="415" spans="1:55" x14ac:dyDescent="0.3">
      <c r="J415" s="1" t="s">
        <v>657</v>
      </c>
      <c r="U415" s="1" t="s">
        <v>828</v>
      </c>
      <c r="AB415" s="1" t="s">
        <v>655</v>
      </c>
      <c r="AI415" s="1" t="s">
        <v>639</v>
      </c>
      <c r="AK415" s="1" t="s">
        <v>623</v>
      </c>
    </row>
    <row r="416" spans="1:55" x14ac:dyDescent="0.3">
      <c r="J416" s="1" t="s">
        <v>658</v>
      </c>
      <c r="U416" s="1" t="s">
        <v>652</v>
      </c>
      <c r="AB416" s="1" t="s">
        <v>656</v>
      </c>
      <c r="AI416" s="1" t="s">
        <v>640</v>
      </c>
      <c r="AK416" s="1" t="s">
        <v>650</v>
      </c>
    </row>
    <row r="417" spans="10:37" x14ac:dyDescent="0.3">
      <c r="J417" s="1" t="s">
        <v>659</v>
      </c>
      <c r="U417" s="1" t="s">
        <v>636</v>
      </c>
      <c r="AB417" s="1" t="s">
        <v>638</v>
      </c>
      <c r="AI417" s="1" t="s">
        <v>643</v>
      </c>
      <c r="AK417" s="1" t="s">
        <v>820</v>
      </c>
    </row>
    <row r="418" spans="10:37" x14ac:dyDescent="0.3">
      <c r="J418" s="1" t="s">
        <v>660</v>
      </c>
      <c r="U418" s="1" t="s">
        <v>637</v>
      </c>
      <c r="AB418" s="1" t="s">
        <v>657</v>
      </c>
      <c r="AI418" s="1" t="s">
        <v>644</v>
      </c>
      <c r="AK418" s="1" t="s">
        <v>651</v>
      </c>
    </row>
    <row r="419" spans="10:37" x14ac:dyDescent="0.3">
      <c r="J419" s="1" t="s">
        <v>639</v>
      </c>
      <c r="U419" s="1" t="s">
        <v>655</v>
      </c>
      <c r="AB419" s="1" t="s">
        <v>658</v>
      </c>
      <c r="AI419" s="1" t="s">
        <v>645</v>
      </c>
      <c r="AK419" s="1" t="s">
        <v>828</v>
      </c>
    </row>
    <row r="420" spans="10:37" x14ac:dyDescent="0.3">
      <c r="J420" s="1" t="s">
        <v>640</v>
      </c>
      <c r="U420" s="1" t="s">
        <v>656</v>
      </c>
      <c r="AB420" s="1" t="s">
        <v>626</v>
      </c>
      <c r="AI420" s="1" t="s">
        <v>646</v>
      </c>
      <c r="AK420" s="1" t="s">
        <v>652</v>
      </c>
    </row>
    <row r="421" spans="10:37" x14ac:dyDescent="0.3">
      <c r="J421" s="1" t="s">
        <v>641</v>
      </c>
      <c r="U421" s="1" t="s">
        <v>658</v>
      </c>
      <c r="AB421" s="1" t="s">
        <v>659</v>
      </c>
      <c r="AI421" s="1" t="s">
        <v>648</v>
      </c>
      <c r="AK421" s="1" t="s">
        <v>637</v>
      </c>
    </row>
    <row r="422" spans="10:37" x14ac:dyDescent="0.3">
      <c r="J422" s="1" t="s">
        <v>642</v>
      </c>
      <c r="U422" s="1" t="s">
        <v>659</v>
      </c>
      <c r="AB422" s="1" t="s">
        <v>660</v>
      </c>
      <c r="AK422" s="1" t="s">
        <v>655</v>
      </c>
    </row>
    <row r="423" spans="10:37" x14ac:dyDescent="0.3">
      <c r="J423" s="1" t="s">
        <v>643</v>
      </c>
      <c r="U423" s="1" t="s">
        <v>829</v>
      </c>
      <c r="AB423" s="1" t="s">
        <v>639</v>
      </c>
      <c r="AK423" s="1" t="s">
        <v>656</v>
      </c>
    </row>
    <row r="424" spans="10:37" x14ac:dyDescent="0.3">
      <c r="J424" s="1" t="s">
        <v>644</v>
      </c>
      <c r="U424" s="1" t="s">
        <v>660</v>
      </c>
      <c r="AB424" s="1" t="s">
        <v>640</v>
      </c>
      <c r="AK424" s="1" t="s">
        <v>658</v>
      </c>
    </row>
    <row r="425" spans="10:37" x14ac:dyDescent="0.3">
      <c r="J425" s="1" t="s">
        <v>645</v>
      </c>
      <c r="U425" s="1" t="s">
        <v>639</v>
      </c>
      <c r="AB425" s="1" t="s">
        <v>642</v>
      </c>
      <c r="AK425" s="1" t="s">
        <v>626</v>
      </c>
    </row>
    <row r="426" spans="10:37" x14ac:dyDescent="0.3">
      <c r="J426" s="1" t="s">
        <v>646</v>
      </c>
      <c r="U426" s="1" t="s">
        <v>640</v>
      </c>
      <c r="AB426" s="1" t="s">
        <v>643</v>
      </c>
      <c r="AK426" s="1" t="s">
        <v>659</v>
      </c>
    </row>
    <row r="427" spans="10:37" x14ac:dyDescent="0.3">
      <c r="J427" s="1" t="s">
        <v>647</v>
      </c>
      <c r="U427" s="1" t="s">
        <v>641</v>
      </c>
      <c r="AB427" s="1" t="s">
        <v>644</v>
      </c>
      <c r="AK427" s="1" t="s">
        <v>829</v>
      </c>
    </row>
    <row r="428" spans="10:37" x14ac:dyDescent="0.3">
      <c r="J428" s="1" t="s">
        <v>648</v>
      </c>
      <c r="U428" s="1" t="s">
        <v>643</v>
      </c>
      <c r="AB428" s="1" t="s">
        <v>645</v>
      </c>
      <c r="AK428" s="1" t="s">
        <v>660</v>
      </c>
    </row>
    <row r="429" spans="10:37" x14ac:dyDescent="0.3">
      <c r="J429" s="1" t="s">
        <v>653</v>
      </c>
      <c r="U429" s="1" t="s">
        <v>644</v>
      </c>
      <c r="AB429" s="1" t="s">
        <v>646</v>
      </c>
      <c r="AK429" s="1" t="s">
        <v>639</v>
      </c>
    </row>
    <row r="430" spans="10:37" x14ac:dyDescent="0.3">
      <c r="J430" s="1" t="s">
        <v>654</v>
      </c>
      <c r="U430" s="1" t="s">
        <v>645</v>
      </c>
      <c r="AB430" s="1" t="s">
        <v>647</v>
      </c>
      <c r="AK430" s="1" t="s">
        <v>640</v>
      </c>
    </row>
    <row r="431" spans="10:37" x14ac:dyDescent="0.3">
      <c r="U431" s="1" t="s">
        <v>646</v>
      </c>
      <c r="AB431" s="1" t="s">
        <v>648</v>
      </c>
      <c r="AK431" s="1" t="s">
        <v>643</v>
      </c>
    </row>
    <row r="432" spans="10:37" x14ac:dyDescent="0.3">
      <c r="U432" s="1" t="s">
        <v>647</v>
      </c>
      <c r="AB432" s="1" t="s">
        <v>653</v>
      </c>
      <c r="AK432" s="1" t="s">
        <v>644</v>
      </c>
    </row>
    <row r="433" spans="1:58" x14ac:dyDescent="0.3">
      <c r="U433" s="1" t="s">
        <v>648</v>
      </c>
      <c r="AB433" s="1" t="s">
        <v>654</v>
      </c>
      <c r="AK433" s="1" t="s">
        <v>645</v>
      </c>
    </row>
    <row r="434" spans="1:58" x14ac:dyDescent="0.3">
      <c r="U434" s="1" t="s">
        <v>653</v>
      </c>
      <c r="AK434" s="1" t="s">
        <v>646</v>
      </c>
    </row>
    <row r="435" spans="1:58" x14ac:dyDescent="0.3">
      <c r="U435" s="1" t="s">
        <v>654</v>
      </c>
      <c r="AK435" s="1" t="s">
        <v>648</v>
      </c>
    </row>
    <row r="436" spans="1:58" x14ac:dyDescent="0.3">
      <c r="U436" s="1" t="s">
        <v>830</v>
      </c>
      <c r="AK436" s="1" t="s">
        <v>653</v>
      </c>
    </row>
    <row r="437" spans="1:58" x14ac:dyDescent="0.3">
      <c r="AK437" s="1" t="s">
        <v>654</v>
      </c>
    </row>
    <row r="438" spans="1:58" x14ac:dyDescent="0.3">
      <c r="AK438" s="1" t="s">
        <v>830</v>
      </c>
    </row>
    <row r="440" spans="1:58" x14ac:dyDescent="0.3">
      <c r="A440" s="3" t="str">
        <f>IF(A401 &lt;&gt; "", "    (" &amp; MID(A$1, 5, 100) &amp; ", @COURSE_" &amp; MID(A401, 1, 3) &amp; "_" &amp; MID(A401, 5, 10) &amp; "),", "")</f>
        <v xml:space="preserve">    (, @COURSE_ARH_2000),</v>
      </c>
      <c r="B440" s="3" t="str">
        <f t="shared" ref="B440:BF444" si="4">IF(B401 &lt;&gt; "", "    (" &amp; MID(B$1, 5, 100) &amp; ", @COURSE_" &amp; MID(B401, 1, 3) &amp; "_" &amp; MID(B401, 5, 10) &amp; "),", "")</f>
        <v xml:space="preserve">    (, @COURSE_AMH_2020),</v>
      </c>
      <c r="C440" s="3" t="str">
        <f t="shared" si="4"/>
        <v xml:space="preserve">    (, @COURSE_MAC_2281),</v>
      </c>
      <c r="D440" s="3" t="str">
        <f t="shared" si="4"/>
        <v xml:space="preserve">    (, @COURSE_MAC_2282),</v>
      </c>
      <c r="E440" s="3" t="str">
        <f t="shared" si="4"/>
        <v xml:space="preserve">    (, @COURSE_MAC_2283),</v>
      </c>
      <c r="F440" s="3" t="str">
        <f t="shared" si="4"/>
        <v xml:space="preserve">    (, @COURSE_MAP_2302),</v>
      </c>
      <c r="G440" s="3" t="str">
        <f t="shared" si="4"/>
        <v xml:space="preserve">    (, @COURSE_CHM_2045),</v>
      </c>
      <c r="H440" s="3" t="str">
        <f t="shared" si="4"/>
        <v xml:space="preserve">    (p, @COURSE_CHM_2045L),</v>
      </c>
      <c r="I440" s="3" t="str">
        <f t="shared" si="4"/>
        <v xml:space="preserve">    (se, @COURSE_CDA_4253),</v>
      </c>
      <c r="J440" s="3" t="str">
        <f t="shared" si="4"/>
        <v xml:space="preserve">    (, @COURSE_CAP_4034),</v>
      </c>
      <c r="K440" s="3" t="str">
        <f t="shared" si="4"/>
        <v/>
      </c>
      <c r="L440" s="3" t="str">
        <f t="shared" si="4"/>
        <v xml:space="preserve">    (, @COURSE_ARH_2000),</v>
      </c>
      <c r="M440" s="3" t="str">
        <f t="shared" si="4"/>
        <v xml:space="preserve">    (, @COURSE_AMH_2020),</v>
      </c>
      <c r="N440" s="3" t="str">
        <f t="shared" si="4"/>
        <v xml:space="preserve">    (, @COURSE_MAC_2281),</v>
      </c>
      <c r="O440" s="3" t="str">
        <f t="shared" si="4"/>
        <v xml:space="preserve">    (, @COURSE_MAC_2282),</v>
      </c>
      <c r="P440" s="3" t="str">
        <f t="shared" si="4"/>
        <v xml:space="preserve">    (, @COURSE_MAC_2283),</v>
      </c>
      <c r="Q440" s="3" t="str">
        <f t="shared" si="4"/>
        <v xml:space="preserve">    (, @COURSE_MAP_2302),</v>
      </c>
      <c r="R440" s="3" t="str">
        <f t="shared" si="4"/>
        <v xml:space="preserve">    (, @COURSE_CHM_2045),</v>
      </c>
      <c r="S440" s="3" t="str">
        <f t="shared" si="4"/>
        <v xml:space="preserve">    (, @COURSE_CHM_2045L),</v>
      </c>
      <c r="T440" s="3" t="str">
        <f t="shared" si="4"/>
        <v xml:space="preserve">    (, @COURSE_CDA_4253),</v>
      </c>
      <c r="U440" s="3" t="str">
        <f t="shared" si="4"/>
        <v xml:space="preserve">    (, @COURSE_CAP_4034),</v>
      </c>
      <c r="V440" s="3" t="str">
        <f t="shared" si="4"/>
        <v/>
      </c>
      <c r="W440" s="3" t="str">
        <f t="shared" si="4"/>
        <v xml:space="preserve">    (, @COURSE_ARH_2000),</v>
      </c>
      <c r="X440" s="3" t="str">
        <f t="shared" si="4"/>
        <v xml:space="preserve">    (, @COURSE_AMH_2020),</v>
      </c>
      <c r="Y440" s="3" t="str">
        <f t="shared" si="4"/>
        <v xml:space="preserve">    (, @COURSE_MAC_2281),</v>
      </c>
      <c r="Z440" s="3" t="str">
        <f t="shared" si="4"/>
        <v xml:space="preserve">    (, @COURSE_MAC_2282),</v>
      </c>
      <c r="AA440" s="3" t="str">
        <f t="shared" si="4"/>
        <v xml:space="preserve">    (, @COURSE_MAC_2283),</v>
      </c>
      <c r="AB440" s="3" t="str">
        <f t="shared" si="4"/>
        <v xml:space="preserve">    (, @COURSE_CAP_4034),</v>
      </c>
      <c r="AC440" s="3" t="str">
        <f t="shared" si="4"/>
        <v/>
      </c>
      <c r="AD440" s="3" t="str">
        <f t="shared" si="4"/>
        <v xml:space="preserve">    (, @COURSE_ARH_2000),</v>
      </c>
      <c r="AE440" s="3" t="str">
        <f t="shared" si="4"/>
        <v xml:space="preserve">    (, @COURSE_AMH_2020),</v>
      </c>
      <c r="AF440" s="3" t="str">
        <f t="shared" si="4"/>
        <v xml:space="preserve">    (, @COURSE_MAC_2281),</v>
      </c>
      <c r="AG440" s="3" t="str">
        <f t="shared" si="4"/>
        <v xml:space="preserve">    (, @COURSE_MAC_2282),</v>
      </c>
      <c r="AH440" s="3" t="str">
        <f t="shared" si="4"/>
        <v xml:space="preserve">    (, @COURSE_MAC_2283),</v>
      </c>
      <c r="AI440" s="3" t="str">
        <f t="shared" si="4"/>
        <v xml:space="preserve">    (, @COURSE_CAP_4034),</v>
      </c>
      <c r="AJ440" s="3" t="str">
        <f t="shared" si="4"/>
        <v xml:space="preserve">    (, @COURSE_CIS_4212),</v>
      </c>
      <c r="AK440" s="3" t="str">
        <f t="shared" si="4"/>
        <v xml:space="preserve">    (, @COURSE_CAP_4034),</v>
      </c>
      <c r="AL440" s="3" t="str">
        <f t="shared" si="4"/>
        <v/>
      </c>
      <c r="AM440" s="3" t="str">
        <f t="shared" si="4"/>
        <v xml:space="preserve">    (, @COURSE_ARH_2000),</v>
      </c>
      <c r="AN440" s="3" t="str">
        <f t="shared" si="4"/>
        <v xml:space="preserve">    (, @COURSE_AMH_2020),</v>
      </c>
      <c r="AO440" s="3" t="str">
        <f t="shared" si="4"/>
        <v xml:space="preserve">    (, @COURSE_CIS_3360),</v>
      </c>
      <c r="AP440" s="3" t="str">
        <f t="shared" si="4"/>
        <v/>
      </c>
      <c r="AQ440" s="3" t="str">
        <f t="shared" si="4"/>
        <v xml:space="preserve">    (, @COURSE_ARH_2000),</v>
      </c>
      <c r="AR440" s="3" t="str">
        <f t="shared" si="4"/>
        <v xml:space="preserve">    (, @COURSE_AMH_2020),</v>
      </c>
      <c r="AS440" s="3" t="str">
        <f t="shared" si="4"/>
        <v xml:space="preserve">    (, @COURSE_CAP_4136),</v>
      </c>
      <c r="AT440" s="3" t="str">
        <f t="shared" si="4"/>
        <v/>
      </c>
      <c r="AU440" s="3" t="str">
        <f t="shared" si="4"/>
        <v xml:space="preserve">    (, @COURSE_ARH_2000),</v>
      </c>
      <c r="AV440" s="3" t="str">
        <f t="shared" si="4"/>
        <v xml:space="preserve">    (, @COURSE_AMH_2020),</v>
      </c>
      <c r="AW440" s="3" t="str">
        <f t="shared" si="4"/>
        <v xml:space="preserve">    (, @COURSE_CIS_4253),</v>
      </c>
      <c r="AX440" s="3" t="str">
        <f t="shared" si="4"/>
        <v xml:space="preserve">    (, @COURSE_CAP_4136),</v>
      </c>
      <c r="AY440" s="3" t="str">
        <f t="shared" si="4"/>
        <v/>
      </c>
      <c r="AZ440" s="3" t="str">
        <f t="shared" si="4"/>
        <v xml:space="preserve">    (, @COURSE_ARH_2000),</v>
      </c>
      <c r="BA440" s="3" t="str">
        <f t="shared" si="4"/>
        <v xml:space="preserve">    (, @COURSE_AMH_2020),</v>
      </c>
      <c r="BB440" s="3" t="str">
        <f t="shared" si="4"/>
        <v/>
      </c>
      <c r="BC440" s="3" t="str">
        <f t="shared" si="4"/>
        <v xml:space="preserve">    (, @COURSE_CAP_4136),</v>
      </c>
      <c r="BD440" s="3" t="str">
        <f t="shared" si="4"/>
        <v/>
      </c>
      <c r="BE440" s="3" t="str">
        <f t="shared" si="4"/>
        <v/>
      </c>
      <c r="BF440" s="3" t="str">
        <f t="shared" si="4"/>
        <v/>
      </c>
    </row>
    <row r="441" spans="1:58" x14ac:dyDescent="0.3">
      <c r="A441" s="3" t="str">
        <f t="shared" ref="A441:P456" si="5">IF(A402 &lt;&gt; "", "    (" &amp; MID(A$1, 5, 100) &amp; ", @COURSE_" &amp; MID(A402, 1, 3) &amp; "_" &amp; MID(A402, 5, 10) &amp; "),", "")</f>
        <v xml:space="preserve">    (, @COURSE_HUM_1020),</v>
      </c>
      <c r="B441" s="3" t="str">
        <f t="shared" si="5"/>
        <v xml:space="preserve">    (, @COURSE_ANT_2000),</v>
      </c>
      <c r="C441" s="3" t="str">
        <f t="shared" si="5"/>
        <v xml:space="preserve">    (, @COURSE_MAC_2311),</v>
      </c>
      <c r="D441" s="3" t="str">
        <f t="shared" si="5"/>
        <v xml:space="preserve">    (, @COURSE_MAC_2312),</v>
      </c>
      <c r="E441" s="3" t="str">
        <f t="shared" si="5"/>
        <v xml:space="preserve">    (, @COURSE_MAC_2313),</v>
      </c>
      <c r="F441" s="3" t="str">
        <f t="shared" si="5"/>
        <v xml:space="preserve">    (, @COURSE_EGN_3433),</v>
      </c>
      <c r="G441" s="3" t="str">
        <f t="shared" si="5"/>
        <v xml:space="preserve">    (, @COURSE_CHS_2440),</v>
      </c>
      <c r="H441" s="3" t="str">
        <f t="shared" si="5"/>
        <v xml:space="preserve">    (p, @COURSE_CHS_2440L),</v>
      </c>
      <c r="I441" s="3" t="str">
        <f t="shared" si="5"/>
        <v xml:space="preserve">    (se, @COURSE_CDA_4322),</v>
      </c>
      <c r="J441" s="3" t="str">
        <f t="shared" si="5"/>
        <v xml:space="preserve">    (, @COURSE_CAP_4063),</v>
      </c>
      <c r="K441" s="3" t="str">
        <f t="shared" si="5"/>
        <v/>
      </c>
      <c r="L441" s="3" t="str">
        <f t="shared" si="5"/>
        <v xml:space="preserve">    (, @COURSE_HUM_1020),</v>
      </c>
      <c r="M441" s="3" t="str">
        <f t="shared" si="5"/>
        <v xml:space="preserve">    (, @COURSE_ANT_2000),</v>
      </c>
      <c r="N441" s="3" t="str">
        <f t="shared" si="5"/>
        <v xml:space="preserve">    (, @COURSE_MAC_2311),</v>
      </c>
      <c r="O441" s="3" t="str">
        <f t="shared" si="5"/>
        <v xml:space="preserve">    (, @COURSE_MAC_2312),</v>
      </c>
      <c r="P441" s="3" t="str">
        <f t="shared" si="5"/>
        <v xml:space="preserve">    (, @COURSE_MAC_2313),</v>
      </c>
      <c r="Q441" s="3" t="str">
        <f t="shared" si="4"/>
        <v xml:space="preserve">    (, @COURSE_EGN_3433),</v>
      </c>
      <c r="R441" s="3" t="str">
        <f t="shared" si="4"/>
        <v xml:space="preserve">    (, @COURSE_CHS_2440),</v>
      </c>
      <c r="S441" s="3" t="str">
        <f t="shared" si="4"/>
        <v xml:space="preserve">    (, @COURSE_CHS_2440L),</v>
      </c>
      <c r="T441" s="3" t="str">
        <f t="shared" si="4"/>
        <v xml:space="preserve">    (, @COURSE_CDA_4321),</v>
      </c>
      <c r="U441" s="3" t="str">
        <f t="shared" si="4"/>
        <v xml:space="preserve">    (, @COURSE_CAP_4103),</v>
      </c>
      <c r="V441" s="3" t="str">
        <f t="shared" si="4"/>
        <v/>
      </c>
      <c r="W441" s="3" t="str">
        <f t="shared" si="4"/>
        <v xml:space="preserve">    (, @COURSE_HUM_1020),</v>
      </c>
      <c r="X441" s="3" t="str">
        <f t="shared" si="4"/>
        <v xml:space="preserve">    (, @COURSE_ANT_2000),</v>
      </c>
      <c r="Y441" s="3" t="str">
        <f t="shared" si="4"/>
        <v xml:space="preserve">    (, @COURSE_MAC_2311),</v>
      </c>
      <c r="Z441" s="3" t="str">
        <f t="shared" si="4"/>
        <v xml:space="preserve">    (, @COURSE_MAC_2312),</v>
      </c>
      <c r="AA441" s="3" t="str">
        <f t="shared" si="4"/>
        <v xml:space="preserve">    (, @COURSE_MAC_2313),</v>
      </c>
      <c r="AB441" s="3" t="str">
        <f t="shared" si="4"/>
        <v xml:space="preserve">    (, @COURSE_CAP_4063),</v>
      </c>
      <c r="AC441" s="3" t="str">
        <f t="shared" si="4"/>
        <v/>
      </c>
      <c r="AD441" s="3" t="str">
        <f t="shared" si="4"/>
        <v xml:space="preserve">    (, @COURSE_HUM_1020),</v>
      </c>
      <c r="AE441" s="3" t="str">
        <f t="shared" si="4"/>
        <v xml:space="preserve">    (, @COURSE_ANT_2000),</v>
      </c>
      <c r="AF441" s="3" t="str">
        <f t="shared" si="4"/>
        <v xml:space="preserve">    (, @COURSE_MAC_2311),</v>
      </c>
      <c r="AG441" s="3" t="str">
        <f t="shared" si="4"/>
        <v xml:space="preserve">    (, @COURSE_MAC_2312),</v>
      </c>
      <c r="AH441" s="3" t="str">
        <f t="shared" si="4"/>
        <v xml:space="preserve">    (, @COURSE_MAC_2313),</v>
      </c>
      <c r="AI441" s="3" t="str">
        <f t="shared" si="4"/>
        <v xml:space="preserve">    (, @COURSE_CAP_4103),</v>
      </c>
      <c r="AJ441" s="3" t="str">
        <f t="shared" si="4"/>
        <v xml:space="preserve">    (, @COURSE_COT_4210),</v>
      </c>
      <c r="AK441" s="3" t="str">
        <f t="shared" si="4"/>
        <v xml:space="preserve">    (, @COURSE_CAP_4103),</v>
      </c>
      <c r="AL441" s="3" t="str">
        <f t="shared" si="4"/>
        <v/>
      </c>
      <c r="AM441" s="3" t="str">
        <f t="shared" si="4"/>
        <v xml:space="preserve">    (, @COURSE_HUM_1020),</v>
      </c>
      <c r="AN441" s="3" t="str">
        <f t="shared" si="4"/>
        <v xml:space="preserve">    (, @COURSE_ANT_2000),</v>
      </c>
      <c r="AO441" s="3" t="str">
        <f t="shared" si="4"/>
        <v xml:space="preserve">    (, @COURSE_CIS_3362),</v>
      </c>
      <c r="AP441" s="3" t="str">
        <f t="shared" si="4"/>
        <v/>
      </c>
      <c r="AQ441" s="3" t="str">
        <f t="shared" si="4"/>
        <v xml:space="preserve">    (, @COURSE_HUM_1020),</v>
      </c>
      <c r="AR441" s="3" t="str">
        <f t="shared" si="4"/>
        <v xml:space="preserve">    (, @COURSE_ANT_2000),</v>
      </c>
      <c r="AS441" s="3" t="str">
        <f t="shared" si="4"/>
        <v xml:space="preserve">    (, @COURSE_CIS_4947),</v>
      </c>
      <c r="AT441" s="3" t="str">
        <f t="shared" si="4"/>
        <v/>
      </c>
      <c r="AU441" s="3" t="str">
        <f t="shared" si="4"/>
        <v xml:space="preserve">    (, @COURSE_HUM_1020),</v>
      </c>
      <c r="AV441" s="3" t="str">
        <f t="shared" si="4"/>
        <v xml:space="preserve">    (, @COURSE_ANT_2000),</v>
      </c>
      <c r="AW441" s="3" t="str">
        <f t="shared" si="4"/>
        <v/>
      </c>
      <c r="AX441" s="3" t="str">
        <f t="shared" si="4"/>
        <v xml:space="preserve">    (, @COURSE_CEN_4360),</v>
      </c>
      <c r="AY441" s="3" t="str">
        <f t="shared" si="4"/>
        <v/>
      </c>
      <c r="AZ441" s="3" t="str">
        <f t="shared" si="4"/>
        <v xml:space="preserve">    (, @COURSE_HUM_1020),</v>
      </c>
      <c r="BA441" s="3" t="str">
        <f t="shared" si="4"/>
        <v xml:space="preserve">    (, @COURSE_ANT_2000),</v>
      </c>
      <c r="BB441" s="3" t="str">
        <f t="shared" si="4"/>
        <v xml:space="preserve">    (, @COURSE_CIS_4253),</v>
      </c>
      <c r="BC441" s="3" t="str">
        <f t="shared" si="4"/>
        <v xml:space="preserve">    (, @COURSE_CIS_4947),</v>
      </c>
      <c r="BD441" s="3" t="str">
        <f t="shared" si="4"/>
        <v/>
      </c>
      <c r="BE441" s="3" t="str">
        <f t="shared" si="4"/>
        <v/>
      </c>
      <c r="BF441" s="3" t="str">
        <f t="shared" si="4"/>
        <v/>
      </c>
    </row>
    <row r="442" spans="1:58" x14ac:dyDescent="0.3">
      <c r="A442" s="3" t="str">
        <f t="shared" si="5"/>
        <v xml:space="preserve">    (, @COURSE_LIT_2000),</v>
      </c>
      <c r="B442" s="3" t="str">
        <f t="shared" si="5"/>
        <v xml:space="preserve">    (, @COURSE_ECO_2013),</v>
      </c>
      <c r="C442" s="3" t="str">
        <f t="shared" si="5"/>
        <v/>
      </c>
      <c r="D442" s="3" t="str">
        <f t="shared" si="5"/>
        <v/>
      </c>
      <c r="E442" s="3" t="str">
        <f t="shared" si="5"/>
        <v/>
      </c>
      <c r="F442" s="3" t="str">
        <f t="shared" si="5"/>
        <v/>
      </c>
      <c r="G442" s="3" t="str">
        <f t="shared" si="5"/>
        <v/>
      </c>
      <c r="H442" s="3" t="str">
        <f t="shared" si="5"/>
        <v/>
      </c>
      <c r="I442" s="3" t="str">
        <f t="shared" si="5"/>
        <v xml:space="preserve">    (se, @COURSE_CDA_4621),</v>
      </c>
      <c r="J442" s="3" t="str">
        <f t="shared" si="5"/>
        <v xml:space="preserve">    (, @COURSE_CAP_4111),</v>
      </c>
      <c r="K442" s="3" t="str">
        <f t="shared" si="5"/>
        <v/>
      </c>
      <c r="L442" s="3" t="str">
        <f t="shared" si="5"/>
        <v xml:space="preserve">    (, @COURSE_LIT_2000),</v>
      </c>
      <c r="M442" s="3" t="str">
        <f t="shared" si="5"/>
        <v xml:space="preserve">    (, @COURSE_ECO_2013),</v>
      </c>
      <c r="N442" s="3" t="str">
        <f t="shared" si="5"/>
        <v/>
      </c>
      <c r="O442" s="3" t="str">
        <f t="shared" si="5"/>
        <v/>
      </c>
      <c r="P442" s="3" t="str">
        <f t="shared" si="5"/>
        <v/>
      </c>
      <c r="Q442" s="3" t="str">
        <f t="shared" si="4"/>
        <v/>
      </c>
      <c r="R442" s="3" t="str">
        <f t="shared" si="4"/>
        <v/>
      </c>
      <c r="S442" s="3" t="str">
        <f t="shared" si="4"/>
        <v/>
      </c>
      <c r="T442" s="3" t="str">
        <f t="shared" si="4"/>
        <v xml:space="preserve">    (, @COURSE_CDA_4322),</v>
      </c>
      <c r="U442" s="3" t="str">
        <f t="shared" si="4"/>
        <v xml:space="preserve">    (, @COURSE_CAP_4111),</v>
      </c>
      <c r="V442" s="3" t="str">
        <f t="shared" si="4"/>
        <v/>
      </c>
      <c r="W442" s="3" t="str">
        <f t="shared" si="4"/>
        <v xml:space="preserve">    (, @COURSE_LIT_2000),</v>
      </c>
      <c r="X442" s="3" t="str">
        <f t="shared" si="4"/>
        <v xml:space="preserve">    (, @COURSE_ECO_2013),</v>
      </c>
      <c r="Y442" s="3" t="str">
        <f t="shared" si="4"/>
        <v/>
      </c>
      <c r="Z442" s="3" t="str">
        <f t="shared" si="4"/>
        <v/>
      </c>
      <c r="AA442" s="3" t="str">
        <f t="shared" si="4"/>
        <v/>
      </c>
      <c r="AB442" s="3" t="str">
        <f t="shared" si="4"/>
        <v xml:space="preserve">    (, @COURSE_CAP_4111),</v>
      </c>
      <c r="AC442" s="3" t="str">
        <f t="shared" si="4"/>
        <v/>
      </c>
      <c r="AD442" s="3" t="str">
        <f t="shared" si="4"/>
        <v xml:space="preserve">    (, @COURSE_LIT_2000),</v>
      </c>
      <c r="AE442" s="3" t="str">
        <f t="shared" si="4"/>
        <v xml:space="preserve">    (, @COURSE_ECO_2013),</v>
      </c>
      <c r="AF442" s="3" t="str">
        <f t="shared" si="4"/>
        <v/>
      </c>
      <c r="AG442" s="3" t="str">
        <f t="shared" si="4"/>
        <v/>
      </c>
      <c r="AH442" s="3" t="str">
        <f t="shared" si="4"/>
        <v/>
      </c>
      <c r="AI442" s="3" t="str">
        <f t="shared" si="4"/>
        <v xml:space="preserve">    (, @COURSE_CAP_4111),</v>
      </c>
      <c r="AJ442" s="3" t="str">
        <f t="shared" si="4"/>
        <v xml:space="preserve">    (, @COURSE_COT_4521),</v>
      </c>
      <c r="AK442" s="3" t="str">
        <f t="shared" si="4"/>
        <v xml:space="preserve">    (, @COURSE_CAP_4111),</v>
      </c>
      <c r="AL442" s="3" t="str">
        <f t="shared" si="4"/>
        <v/>
      </c>
      <c r="AM442" s="3" t="str">
        <f t="shared" si="4"/>
        <v xml:space="preserve">    (, @COURSE_LIT_2000),</v>
      </c>
      <c r="AN442" s="3" t="str">
        <f t="shared" si="4"/>
        <v xml:space="preserve">    (, @COURSE_ECO_2013),</v>
      </c>
      <c r="AO442" s="3" t="str">
        <f t="shared" si="4"/>
        <v xml:space="preserve">    (, @COURSE_CIS_4203),</v>
      </c>
      <c r="AP442" s="3" t="str">
        <f t="shared" si="4"/>
        <v/>
      </c>
      <c r="AQ442" s="3" t="str">
        <f t="shared" si="4"/>
        <v xml:space="preserve">    (, @COURSE_LIT_2000),</v>
      </c>
      <c r="AR442" s="3" t="str">
        <f t="shared" si="4"/>
        <v xml:space="preserve">    (, @COURSE_ECO_2013),</v>
      </c>
      <c r="AS442" s="3" t="str">
        <f t="shared" si="4"/>
        <v xml:space="preserve">    (, @COURSE_CNT_4716C),</v>
      </c>
      <c r="AT442" s="3" t="str">
        <f t="shared" si="4"/>
        <v/>
      </c>
      <c r="AU442" s="3" t="str">
        <f t="shared" si="4"/>
        <v xml:space="preserve">    (, @COURSE_LIT_2000),</v>
      </c>
      <c r="AV442" s="3" t="str">
        <f t="shared" si="4"/>
        <v xml:space="preserve">    (, @COURSE_ECO_2013),</v>
      </c>
      <c r="AW442" s="3" t="str">
        <f t="shared" si="4"/>
        <v/>
      </c>
      <c r="AX442" s="3" t="str">
        <f t="shared" si="4"/>
        <v xml:space="preserve">    (, @COURSE_CIS_4200),</v>
      </c>
      <c r="AY442" s="3" t="str">
        <f t="shared" si="4"/>
        <v/>
      </c>
      <c r="AZ442" s="3" t="str">
        <f t="shared" si="4"/>
        <v xml:space="preserve">    (, @COURSE_LIT_2000),</v>
      </c>
      <c r="BA442" s="3" t="str">
        <f t="shared" si="4"/>
        <v xml:space="preserve">    (, @COURSE_ECO_2013),</v>
      </c>
      <c r="BB442" s="3" t="str">
        <f t="shared" si="4"/>
        <v xml:space="preserve">    (, @COURSE_LIS_4414),</v>
      </c>
      <c r="BC442" s="3" t="str">
        <f t="shared" si="4"/>
        <v xml:space="preserve">    (, @COURSE_CNT_4716C),</v>
      </c>
      <c r="BD442" s="3" t="str">
        <f t="shared" si="4"/>
        <v/>
      </c>
      <c r="BE442" s="3" t="str">
        <f t="shared" si="4"/>
        <v/>
      </c>
      <c r="BF442" s="3" t="str">
        <f t="shared" si="4"/>
        <v/>
      </c>
    </row>
    <row r="443" spans="1:58" x14ac:dyDescent="0.3">
      <c r="A443" s="3" t="str">
        <f t="shared" si="5"/>
        <v xml:space="preserve">    (, @COURSE_MUL_2010),</v>
      </c>
      <c r="B443" s="3" t="str">
        <f t="shared" si="4"/>
        <v xml:space="preserve">    (, @COURSE_POS_2041),</v>
      </c>
      <c r="C443" s="3" t="str">
        <f t="shared" si="4"/>
        <v/>
      </c>
      <c r="D443" s="3" t="str">
        <f t="shared" si="4"/>
        <v/>
      </c>
      <c r="E443" s="3" t="str">
        <f t="shared" si="4"/>
        <v/>
      </c>
      <c r="F443" s="3" t="str">
        <f t="shared" si="4"/>
        <v/>
      </c>
      <c r="G443" s="3" t="str">
        <f t="shared" si="4"/>
        <v/>
      </c>
      <c r="H443" s="3" t="str">
        <f t="shared" si="4"/>
        <v/>
      </c>
      <c r="I443" s="3" t="str">
        <f t="shared" si="4"/>
        <v/>
      </c>
      <c r="J443" s="3" t="str">
        <f t="shared" si="4"/>
        <v xml:space="preserve">    (, @COURSE_CAP_4401),</v>
      </c>
      <c r="K443" s="3" t="str">
        <f t="shared" si="4"/>
        <v/>
      </c>
      <c r="L443" s="3" t="str">
        <f t="shared" si="4"/>
        <v xml:space="preserve">    (, @COURSE_MUL_2010),</v>
      </c>
      <c r="M443" s="3" t="str">
        <f t="shared" si="4"/>
        <v xml:space="preserve">    (, @COURSE_POS_2041),</v>
      </c>
      <c r="N443" s="3" t="str">
        <f t="shared" si="4"/>
        <v/>
      </c>
      <c r="O443" s="3" t="str">
        <f t="shared" si="4"/>
        <v/>
      </c>
      <c r="P443" s="3" t="str">
        <f t="shared" si="4"/>
        <v/>
      </c>
      <c r="Q443" s="3" t="str">
        <f t="shared" si="4"/>
        <v/>
      </c>
      <c r="R443" s="3" t="str">
        <f t="shared" si="4"/>
        <v/>
      </c>
      <c r="S443" s="3" t="str">
        <f t="shared" si="4"/>
        <v/>
      </c>
      <c r="T443" s="3" t="str">
        <f t="shared" si="4"/>
        <v xml:space="preserve">    (, @COURSE_CDA_4621),</v>
      </c>
      <c r="U443" s="3" t="str">
        <f t="shared" si="4"/>
        <v xml:space="preserve">    (, @COURSE_CAP_4160),</v>
      </c>
      <c r="V443" s="3" t="str">
        <f t="shared" si="4"/>
        <v/>
      </c>
      <c r="W443" s="3" t="str">
        <f t="shared" si="4"/>
        <v xml:space="preserve">    (, @COURSE_MUL_2010),</v>
      </c>
      <c r="X443" s="3" t="str">
        <f t="shared" si="4"/>
        <v xml:space="preserve">    (, @COURSE_POS_2041),</v>
      </c>
      <c r="Y443" s="3" t="str">
        <f t="shared" si="4"/>
        <v/>
      </c>
      <c r="Z443" s="3" t="str">
        <f t="shared" si="4"/>
        <v/>
      </c>
      <c r="AA443" s="3" t="str">
        <f t="shared" si="4"/>
        <v/>
      </c>
      <c r="AB443" s="3" t="str">
        <f t="shared" si="4"/>
        <v xml:space="preserve">    (, @COURSE_CAP_4401),</v>
      </c>
      <c r="AC443" s="3" t="str">
        <f t="shared" si="4"/>
        <v/>
      </c>
      <c r="AD443" s="3" t="str">
        <f t="shared" si="4"/>
        <v xml:space="preserve">    (, @COURSE_MUL_2010),</v>
      </c>
      <c r="AE443" s="3" t="str">
        <f t="shared" si="4"/>
        <v xml:space="preserve">    (, @COURSE_POS_2041),</v>
      </c>
      <c r="AF443" s="3" t="str">
        <f t="shared" si="4"/>
        <v/>
      </c>
      <c r="AG443" s="3" t="str">
        <f t="shared" si="4"/>
        <v/>
      </c>
      <c r="AH443" s="3" t="str">
        <f t="shared" si="4"/>
        <v/>
      </c>
      <c r="AI443" s="3" t="str">
        <f t="shared" si="4"/>
        <v xml:space="preserve">    (, @COURSE_CAP_4160),</v>
      </c>
      <c r="AJ443" s="3" t="str">
        <f t="shared" si="4"/>
        <v xml:space="preserve">    (, @COURSE_COT_4601),</v>
      </c>
      <c r="AK443" s="3" t="str">
        <f t="shared" si="4"/>
        <v xml:space="preserve">    (, @COURSE_CAP_4160),</v>
      </c>
      <c r="AL443" s="3" t="str">
        <f t="shared" si="4"/>
        <v/>
      </c>
      <c r="AM443" s="3" t="str">
        <f t="shared" si="4"/>
        <v xml:space="preserve">    (, @COURSE_MUL_2010),</v>
      </c>
      <c r="AN443" s="3" t="str">
        <f t="shared" si="4"/>
        <v xml:space="preserve">    (, @COURSE_POS_2041),</v>
      </c>
      <c r="AO443" s="3" t="str">
        <f t="shared" si="4"/>
        <v xml:space="preserve">    (, @COURSE_EDG_3801),</v>
      </c>
      <c r="AP443" s="3" t="str">
        <f t="shared" si="4"/>
        <v/>
      </c>
      <c r="AQ443" s="3" t="str">
        <f t="shared" si="4"/>
        <v xml:space="preserve">    (, @COURSE_MUL_2010),</v>
      </c>
      <c r="AR443" s="3" t="str">
        <f t="shared" si="4"/>
        <v xml:space="preserve">    (, @COURSE_POS_2041),</v>
      </c>
      <c r="AS443" s="3" t="str">
        <f t="shared" si="4"/>
        <v xml:space="preserve">    (, @COURSE_COP_4368),</v>
      </c>
      <c r="AT443" s="3" t="str">
        <f t="shared" si="4"/>
        <v/>
      </c>
      <c r="AU443" s="3" t="str">
        <f t="shared" si="4"/>
        <v xml:space="preserve">    (, @COURSE_MUL_2010),</v>
      </c>
      <c r="AV443" s="3" t="str">
        <f t="shared" si="4"/>
        <v xml:space="preserve">    (, @COURSE_POS_2041),</v>
      </c>
      <c r="AW443" s="3" t="str">
        <f t="shared" si="4"/>
        <v/>
      </c>
      <c r="AX443" s="3" t="str">
        <f t="shared" si="4"/>
        <v xml:space="preserve">    (, @COURSE_CIS_4361),</v>
      </c>
      <c r="AY443" s="3" t="str">
        <f t="shared" si="4"/>
        <v/>
      </c>
      <c r="AZ443" s="3" t="str">
        <f t="shared" si="4"/>
        <v xml:space="preserve">    (, @COURSE_MUL_2010),</v>
      </c>
      <c r="BA443" s="3" t="str">
        <f t="shared" si="4"/>
        <v xml:space="preserve">    (, @COURSE_POS_2041),</v>
      </c>
      <c r="BB443" s="3" t="str">
        <f t="shared" si="4"/>
        <v/>
      </c>
      <c r="BC443" s="3" t="str">
        <f t="shared" si="4"/>
        <v xml:space="preserve">    (, @COURSE_COP_3353),</v>
      </c>
      <c r="BD443" s="3" t="str">
        <f t="shared" si="4"/>
        <v/>
      </c>
      <c r="BE443" s="3" t="str">
        <f t="shared" si="4"/>
        <v/>
      </c>
      <c r="BF443" s="3" t="str">
        <f t="shared" si="4"/>
        <v/>
      </c>
    </row>
    <row r="444" spans="1:58" x14ac:dyDescent="0.3">
      <c r="A444" s="3" t="str">
        <f t="shared" si="5"/>
        <v xml:space="preserve">    (, @COURSE_PHI_2010),</v>
      </c>
      <c r="B444" s="3" t="str">
        <f t="shared" si="4"/>
        <v xml:space="preserve">    (, @COURSE_PSY_2012),</v>
      </c>
      <c r="C444" s="3" t="str">
        <f t="shared" si="4"/>
        <v/>
      </c>
      <c r="D444" s="3" t="str">
        <f t="shared" si="4"/>
        <v/>
      </c>
      <c r="E444" s="3" t="str">
        <f t="shared" si="4"/>
        <v/>
      </c>
      <c r="F444" s="3" t="str">
        <f t="shared" si="4"/>
        <v/>
      </c>
      <c r="G444" s="3" t="str">
        <f t="shared" si="4"/>
        <v/>
      </c>
      <c r="H444" s="3" t="str">
        <f t="shared" si="4"/>
        <v/>
      </c>
      <c r="I444" s="3" t="str">
        <f t="shared" si="4"/>
        <v/>
      </c>
      <c r="J444" s="3" t="str">
        <f t="shared" si="4"/>
        <v xml:space="preserve">    (, @COURSE_CAP_4410),</v>
      </c>
      <c r="K444" s="3" t="str">
        <f t="shared" si="4"/>
        <v/>
      </c>
      <c r="L444" s="3" t="str">
        <f t="shared" si="4"/>
        <v xml:space="preserve">    (, @COURSE_PHI_2010),</v>
      </c>
      <c r="M444" s="3" t="str">
        <f t="shared" si="4"/>
        <v xml:space="preserve">    (, @COURSE_PSY_2012),</v>
      </c>
      <c r="N444" s="3" t="str">
        <f t="shared" si="4"/>
        <v/>
      </c>
      <c r="O444" s="3" t="str">
        <f t="shared" si="4"/>
        <v/>
      </c>
      <c r="P444" s="3" t="str">
        <f t="shared" si="4"/>
        <v/>
      </c>
      <c r="Q444" s="3" t="str">
        <f t="shared" si="4"/>
        <v/>
      </c>
      <c r="R444" s="3" t="str">
        <f t="shared" si="4"/>
        <v/>
      </c>
      <c r="S444" s="3" t="str">
        <f t="shared" si="4"/>
        <v/>
      </c>
      <c r="T444" s="3" t="str">
        <f t="shared" si="4"/>
        <v/>
      </c>
      <c r="U444" s="3" t="str">
        <f t="shared" si="4"/>
        <v xml:space="preserve">    (, @COURSE_CAP_4401),</v>
      </c>
      <c r="V444" s="3" t="str">
        <f t="shared" si="4"/>
        <v/>
      </c>
      <c r="W444" s="3" t="str">
        <f t="shared" si="4"/>
        <v xml:space="preserve">    (, @COURSE_PHI_2010),</v>
      </c>
      <c r="X444" s="3" t="str">
        <f t="shared" si="4"/>
        <v xml:space="preserve">    (, @COURSE_PSY_2012),</v>
      </c>
      <c r="Y444" s="3" t="str">
        <f t="shared" si="4"/>
        <v/>
      </c>
      <c r="Z444" s="3" t="str">
        <f t="shared" si="4"/>
        <v/>
      </c>
      <c r="AA444" s="3" t="str">
        <f t="shared" si="4"/>
        <v/>
      </c>
      <c r="AB444" s="3" t="str">
        <f t="shared" si="4"/>
        <v xml:space="preserve">    (, @COURSE_CAP_4410),</v>
      </c>
      <c r="AC444" s="3" t="str">
        <f t="shared" si="4"/>
        <v/>
      </c>
      <c r="AD444" s="3" t="str">
        <f t="shared" si="4"/>
        <v xml:space="preserve">    (, @COURSE_PHI_2010),</v>
      </c>
      <c r="AE444" s="3" t="str">
        <f t="shared" si="4"/>
        <v xml:space="preserve">    (, @COURSE_PSY_2012),</v>
      </c>
      <c r="AF444" s="3" t="str">
        <f t="shared" si="4"/>
        <v/>
      </c>
      <c r="AG444" s="3" t="str">
        <f t="shared" si="4"/>
        <v/>
      </c>
      <c r="AH444" s="3" t="str">
        <f t="shared" si="4"/>
        <v/>
      </c>
      <c r="AI444" s="3" t="str">
        <f t="shared" si="4"/>
        <v xml:space="preserve">    (, @COURSE_CAP_4401),</v>
      </c>
      <c r="AJ444" s="3" t="str">
        <f t="shared" si="4"/>
        <v/>
      </c>
      <c r="AK444" s="3" t="str">
        <f t="shared" si="4"/>
        <v xml:space="preserve">    (, @COURSE_CAP_4401),</v>
      </c>
      <c r="AL444" s="3" t="str">
        <f t="shared" si="4"/>
        <v/>
      </c>
      <c r="AM444" s="3" t="str">
        <f t="shared" si="4"/>
        <v xml:space="preserve">    (, @COURSE_PHI_2010),</v>
      </c>
      <c r="AN444" s="3" t="str">
        <f t="shared" si="4"/>
        <v xml:space="preserve">    (, @COURSE_PSY_2012),</v>
      </c>
      <c r="AO444" s="3" t="str">
        <f t="shared" si="4"/>
        <v xml:space="preserve">    (, @COURSE_ISM_4041),</v>
      </c>
      <c r="AP444" s="3" t="str">
        <f t="shared" si="4"/>
        <v/>
      </c>
      <c r="AQ444" s="3" t="str">
        <f t="shared" si="4"/>
        <v xml:space="preserve">    (, @COURSE_PHI_2010),</v>
      </c>
      <c r="AR444" s="3" t="str">
        <f t="shared" si="4"/>
        <v xml:space="preserve">    (, @COURSE_PSY_2012),</v>
      </c>
      <c r="AS444" s="3" t="str">
        <f t="shared" si="4"/>
        <v xml:space="preserve">    (, @COURSE_COP_4900),</v>
      </c>
      <c r="AT444" s="3" t="str">
        <f t="shared" si="4"/>
        <v/>
      </c>
      <c r="AU444" s="3" t="str">
        <f t="shared" si="4"/>
        <v xml:space="preserve">    (, @COURSE_PHI_2010),</v>
      </c>
      <c r="AV444" s="3" t="str">
        <f t="shared" si="4"/>
        <v xml:space="preserve">    (, @COURSE_PSY_2012),</v>
      </c>
      <c r="AW444" s="3" t="str">
        <f t="shared" si="4"/>
        <v/>
      </c>
      <c r="AX444" s="3" t="str">
        <f t="shared" si="4"/>
        <v xml:space="preserve">    (, @COURSE_CIS_4947),</v>
      </c>
      <c r="AY444" s="3" t="str">
        <f t="shared" si="4"/>
        <v/>
      </c>
      <c r="AZ444" s="3" t="str">
        <f t="shared" si="4"/>
        <v xml:space="preserve">    (, @COURSE_PHI_2010),</v>
      </c>
      <c r="BA444" s="3" t="str">
        <f t="shared" si="4"/>
        <v xml:space="preserve">    (, @COURSE_PSY_2012),</v>
      </c>
      <c r="BB444" s="3" t="str">
        <f t="shared" si="4"/>
        <v/>
      </c>
      <c r="BC444" s="3" t="str">
        <f t="shared" si="4"/>
        <v xml:space="preserve">    (, @COURSE_COP_4883),</v>
      </c>
      <c r="BD444" s="3" t="str">
        <f t="shared" si="4"/>
        <v/>
      </c>
      <c r="BE444" s="3" t="str">
        <f t="shared" si="4"/>
        <v/>
      </c>
      <c r="BF444" s="3" t="str">
        <f t="shared" si="4"/>
        <v/>
      </c>
    </row>
    <row r="445" spans="1:58" x14ac:dyDescent="0.3">
      <c r="A445" s="3" t="str">
        <f t="shared" si="5"/>
        <v xml:space="preserve">    (, @COURSE_THE_2000),</v>
      </c>
      <c r="B445" s="3" t="str">
        <f t="shared" si="5"/>
        <v xml:space="preserve">    (, @COURSE_SYG_2000),</v>
      </c>
      <c r="C445" s="3" t="str">
        <f t="shared" si="5"/>
        <v/>
      </c>
      <c r="D445" s="3" t="str">
        <f t="shared" si="5"/>
        <v/>
      </c>
      <c r="E445" s="3" t="str">
        <f t="shared" si="5"/>
        <v/>
      </c>
      <c r="F445" s="3" t="str">
        <f t="shared" si="5"/>
        <v/>
      </c>
      <c r="G445" s="3" t="str">
        <f t="shared" si="5"/>
        <v/>
      </c>
      <c r="H445" s="3" t="str">
        <f t="shared" si="5"/>
        <v/>
      </c>
      <c r="I445" s="3" t="str">
        <f t="shared" si="5"/>
        <v/>
      </c>
      <c r="J445" s="3" t="str">
        <f t="shared" si="5"/>
        <v xml:space="preserve">    (, @COURSE_CAP_4662),</v>
      </c>
      <c r="K445" s="3" t="str">
        <f t="shared" si="5"/>
        <v/>
      </c>
      <c r="L445" s="3" t="str">
        <f t="shared" si="5"/>
        <v xml:space="preserve">    (, @COURSE_THE_2000),</v>
      </c>
      <c r="M445" s="3" t="str">
        <f t="shared" si="5"/>
        <v xml:space="preserve">    (, @COURSE_SYG_2000),</v>
      </c>
      <c r="N445" s="3" t="str">
        <f t="shared" si="5"/>
        <v/>
      </c>
      <c r="O445" s="3" t="str">
        <f t="shared" si="5"/>
        <v/>
      </c>
      <c r="P445" s="3" t="str">
        <f t="shared" si="5"/>
        <v/>
      </c>
      <c r="Q445" s="3" t="str">
        <f t="shared" ref="Q445:BF451" si="6">IF(Q406 &lt;&gt; "", "    (" &amp; MID(Q$1, 5, 100) &amp; ", @COURSE_" &amp; MID(Q406, 1, 3) &amp; "_" &amp; MID(Q406, 5, 10) &amp; "),", "")</f>
        <v/>
      </c>
      <c r="R445" s="3" t="str">
        <f t="shared" si="6"/>
        <v/>
      </c>
      <c r="S445" s="3" t="str">
        <f t="shared" si="6"/>
        <v/>
      </c>
      <c r="T445" s="3" t="str">
        <f t="shared" si="6"/>
        <v/>
      </c>
      <c r="U445" s="3" t="str">
        <f t="shared" si="6"/>
        <v xml:space="preserve">    (, @COURSE_CAP_4410),</v>
      </c>
      <c r="V445" s="3" t="str">
        <f t="shared" si="6"/>
        <v/>
      </c>
      <c r="W445" s="3" t="str">
        <f t="shared" si="6"/>
        <v xml:space="preserve">    (, @COURSE_THE_2000),</v>
      </c>
      <c r="X445" s="3" t="str">
        <f t="shared" si="6"/>
        <v xml:space="preserve">    (, @COURSE_SYG_2000),</v>
      </c>
      <c r="Y445" s="3" t="str">
        <f t="shared" si="6"/>
        <v/>
      </c>
      <c r="Z445" s="3" t="str">
        <f t="shared" si="6"/>
        <v/>
      </c>
      <c r="AA445" s="3" t="str">
        <f t="shared" si="6"/>
        <v/>
      </c>
      <c r="AB445" s="3" t="str">
        <f t="shared" si="6"/>
        <v xml:space="preserve">    (, @COURSE_CAP_4662),</v>
      </c>
      <c r="AC445" s="3" t="str">
        <f t="shared" si="6"/>
        <v/>
      </c>
      <c r="AD445" s="3" t="str">
        <f t="shared" si="6"/>
        <v xml:space="preserve">    (, @COURSE_THE_2000),</v>
      </c>
      <c r="AE445" s="3" t="str">
        <f t="shared" si="6"/>
        <v xml:space="preserve">    (, @COURSE_SYG_2000),</v>
      </c>
      <c r="AF445" s="3" t="str">
        <f t="shared" si="6"/>
        <v/>
      </c>
      <c r="AG445" s="3" t="str">
        <f t="shared" si="6"/>
        <v/>
      </c>
      <c r="AH445" s="3" t="str">
        <f t="shared" si="6"/>
        <v/>
      </c>
      <c r="AI445" s="3" t="str">
        <f t="shared" si="6"/>
        <v xml:space="preserve">    (, @COURSE_CAP_4410),</v>
      </c>
      <c r="AJ445" s="3" t="str">
        <f t="shared" si="6"/>
        <v/>
      </c>
      <c r="AK445" s="3" t="str">
        <f t="shared" si="6"/>
        <v xml:space="preserve">    (, @COURSE_CAP_4410),</v>
      </c>
      <c r="AL445" s="3" t="str">
        <f t="shared" si="6"/>
        <v/>
      </c>
      <c r="AM445" s="3" t="str">
        <f t="shared" si="6"/>
        <v xml:space="preserve">    (, @COURSE_THE_2000),</v>
      </c>
      <c r="AN445" s="3" t="str">
        <f t="shared" si="6"/>
        <v xml:space="preserve">    (, @COURSE_SYG_2000),</v>
      </c>
      <c r="AO445" s="3" t="str">
        <f t="shared" si="6"/>
        <v xml:space="preserve">    (, @COURSE_LIS_4779),</v>
      </c>
      <c r="AP445" s="3" t="str">
        <f t="shared" si="6"/>
        <v/>
      </c>
      <c r="AQ445" s="3" t="str">
        <f t="shared" si="6"/>
        <v xml:space="preserve">    (, @COURSE_THE_2000),</v>
      </c>
      <c r="AR445" s="3" t="str">
        <f t="shared" si="6"/>
        <v xml:space="preserve">    (, @COURSE_SYG_2000),</v>
      </c>
      <c r="AS445" s="3" t="str">
        <f t="shared" si="6"/>
        <v xml:space="preserve">    (, @COURSE_COP_4931),</v>
      </c>
      <c r="AT445" s="3" t="str">
        <f t="shared" si="6"/>
        <v/>
      </c>
      <c r="AU445" s="3" t="str">
        <f t="shared" si="6"/>
        <v xml:space="preserve">    (, @COURSE_THE_2000),</v>
      </c>
      <c r="AV445" s="3" t="str">
        <f t="shared" si="6"/>
        <v xml:space="preserve">    (, @COURSE_SYG_2000),</v>
      </c>
      <c r="AW445" s="3" t="str">
        <f t="shared" si="6"/>
        <v/>
      </c>
      <c r="AX445" s="3" t="str">
        <f t="shared" si="6"/>
        <v xml:space="preserve">    (, @COURSE_CNT_4403),</v>
      </c>
      <c r="AY445" s="3" t="str">
        <f t="shared" si="6"/>
        <v/>
      </c>
      <c r="AZ445" s="3" t="str">
        <f t="shared" si="6"/>
        <v xml:space="preserve">    (, @COURSE_THE_2000),</v>
      </c>
      <c r="BA445" s="3" t="str">
        <f t="shared" si="6"/>
        <v xml:space="preserve">    (, @COURSE_SYG_2000),</v>
      </c>
      <c r="BB445" s="3" t="str">
        <f t="shared" si="6"/>
        <v/>
      </c>
      <c r="BC445" s="3" t="str">
        <f t="shared" si="6"/>
        <v xml:space="preserve">    (, @COURSE_COP_4900),</v>
      </c>
      <c r="BD445" s="3" t="str">
        <f t="shared" si="6"/>
        <v/>
      </c>
      <c r="BE445" s="3" t="str">
        <f t="shared" si="6"/>
        <v/>
      </c>
      <c r="BF445" s="3" t="str">
        <f t="shared" si="6"/>
        <v/>
      </c>
    </row>
    <row r="446" spans="1:58" x14ac:dyDescent="0.3">
      <c r="A446" s="3" t="str">
        <f t="shared" si="5"/>
        <v/>
      </c>
      <c r="B446" s="3" t="str">
        <f t="shared" si="5"/>
        <v/>
      </c>
      <c r="C446" s="3" t="str">
        <f t="shared" si="5"/>
        <v/>
      </c>
      <c r="D446" s="3" t="str">
        <f t="shared" si="5"/>
        <v/>
      </c>
      <c r="E446" s="3" t="str">
        <f t="shared" si="5"/>
        <v/>
      </c>
      <c r="F446" s="3" t="str">
        <f t="shared" si="5"/>
        <v/>
      </c>
      <c r="G446" s="3" t="str">
        <f t="shared" si="5"/>
        <v/>
      </c>
      <c r="H446" s="3" t="str">
        <f t="shared" si="5"/>
        <v/>
      </c>
      <c r="I446" s="3" t="str">
        <f t="shared" si="5"/>
        <v/>
      </c>
      <c r="J446" s="3" t="str">
        <f t="shared" si="5"/>
        <v xml:space="preserve">    (, @COURSE_CDA_4253),</v>
      </c>
      <c r="K446" s="3" t="str">
        <f t="shared" si="5"/>
        <v/>
      </c>
      <c r="L446" s="3" t="str">
        <f t="shared" si="5"/>
        <v/>
      </c>
      <c r="M446" s="3" t="str">
        <f t="shared" si="5"/>
        <v/>
      </c>
      <c r="N446" s="3" t="str">
        <f t="shared" si="5"/>
        <v/>
      </c>
      <c r="O446" s="3" t="str">
        <f t="shared" si="5"/>
        <v/>
      </c>
      <c r="P446" s="3" t="str">
        <f t="shared" si="5"/>
        <v/>
      </c>
      <c r="Q446" s="3" t="str">
        <f t="shared" si="6"/>
        <v/>
      </c>
      <c r="R446" s="3" t="str">
        <f t="shared" si="6"/>
        <v/>
      </c>
      <c r="S446" s="3" t="str">
        <f t="shared" si="6"/>
        <v/>
      </c>
      <c r="T446" s="3" t="str">
        <f t="shared" si="6"/>
        <v/>
      </c>
      <c r="U446" s="3" t="str">
        <f t="shared" si="6"/>
        <v xml:space="preserve">    (, @COURSE_CAP_4621),</v>
      </c>
      <c r="V446" s="3" t="str">
        <f t="shared" si="6"/>
        <v/>
      </c>
      <c r="W446" s="3" t="str">
        <f t="shared" si="6"/>
        <v/>
      </c>
      <c r="X446" s="3" t="str">
        <f t="shared" si="6"/>
        <v/>
      </c>
      <c r="Y446" s="3" t="str">
        <f t="shared" si="6"/>
        <v/>
      </c>
      <c r="Z446" s="3" t="str">
        <f t="shared" si="6"/>
        <v/>
      </c>
      <c r="AA446" s="3" t="str">
        <f t="shared" si="6"/>
        <v/>
      </c>
      <c r="AB446" s="3" t="str">
        <f t="shared" si="6"/>
        <v xml:space="preserve">    (, @COURSE_CDA_4203),</v>
      </c>
      <c r="AC446" s="3" t="str">
        <f t="shared" si="6"/>
        <v/>
      </c>
      <c r="AD446" s="3" t="str">
        <f t="shared" si="6"/>
        <v/>
      </c>
      <c r="AE446" s="3" t="str">
        <f t="shared" si="6"/>
        <v/>
      </c>
      <c r="AF446" s="3" t="str">
        <f t="shared" si="6"/>
        <v/>
      </c>
      <c r="AG446" s="3" t="str">
        <f t="shared" si="6"/>
        <v/>
      </c>
      <c r="AH446" s="3" t="str">
        <f t="shared" si="6"/>
        <v/>
      </c>
      <c r="AI446" s="3" t="str">
        <f t="shared" si="6"/>
        <v xml:space="preserve">    (, @COURSE_CAP_4621),</v>
      </c>
      <c r="AJ446" s="3" t="str">
        <f t="shared" si="6"/>
        <v/>
      </c>
      <c r="AK446" s="3" t="str">
        <f t="shared" si="6"/>
        <v xml:space="preserve">    (, @COURSE_CAP_4628),</v>
      </c>
      <c r="AL446" s="3" t="str">
        <f t="shared" si="6"/>
        <v/>
      </c>
      <c r="AM446" s="3" t="str">
        <f t="shared" si="6"/>
        <v/>
      </c>
      <c r="AN446" s="3" t="str">
        <f t="shared" si="6"/>
        <v/>
      </c>
      <c r="AO446" s="3" t="str">
        <f t="shared" si="6"/>
        <v/>
      </c>
      <c r="AP446" s="3" t="str">
        <f t="shared" si="6"/>
        <v/>
      </c>
      <c r="AQ446" s="3" t="str">
        <f t="shared" si="6"/>
        <v/>
      </c>
      <c r="AR446" s="3" t="str">
        <f t="shared" si="6"/>
        <v/>
      </c>
      <c r="AS446" s="3" t="str">
        <f t="shared" si="6"/>
        <v xml:space="preserve">    (, @COURSE_CIS_3360),</v>
      </c>
      <c r="AT446" s="3" t="str">
        <f t="shared" si="6"/>
        <v/>
      </c>
      <c r="AU446" s="3" t="str">
        <f t="shared" si="6"/>
        <v/>
      </c>
      <c r="AV446" s="3" t="str">
        <f t="shared" si="6"/>
        <v/>
      </c>
      <c r="AW446" s="3" t="str">
        <f t="shared" si="6"/>
        <v/>
      </c>
      <c r="AX446" s="3" t="str">
        <f t="shared" si="6"/>
        <v xml:space="preserve">    (, @COURSE_COP_3353),</v>
      </c>
      <c r="AY446" s="3" t="str">
        <f t="shared" si="6"/>
        <v/>
      </c>
      <c r="AZ446" s="3" t="str">
        <f t="shared" si="6"/>
        <v/>
      </c>
      <c r="BA446" s="3" t="str">
        <f t="shared" si="6"/>
        <v/>
      </c>
      <c r="BB446" s="3" t="str">
        <f t="shared" si="6"/>
        <v/>
      </c>
      <c r="BC446" s="3" t="str">
        <f t="shared" si="6"/>
        <v xml:space="preserve">    (, @COURSE_COP_4931),</v>
      </c>
      <c r="BD446" s="3" t="str">
        <f t="shared" si="6"/>
        <v/>
      </c>
      <c r="BE446" s="3" t="str">
        <f t="shared" si="6"/>
        <v/>
      </c>
      <c r="BF446" s="3" t="str">
        <f t="shared" si="6"/>
        <v/>
      </c>
    </row>
    <row r="447" spans="1:58" x14ac:dyDescent="0.3">
      <c r="A447" s="3" t="str">
        <f t="shared" si="5"/>
        <v/>
      </c>
      <c r="B447" s="3" t="str">
        <f t="shared" si="5"/>
        <v/>
      </c>
      <c r="C447" s="3" t="str">
        <f t="shared" si="5"/>
        <v/>
      </c>
      <c r="D447" s="3" t="str">
        <f t="shared" si="5"/>
        <v/>
      </c>
      <c r="E447" s="3" t="str">
        <f t="shared" si="5"/>
        <v/>
      </c>
      <c r="F447" s="3" t="str">
        <f t="shared" si="5"/>
        <v/>
      </c>
      <c r="G447" s="3" t="str">
        <f t="shared" si="5"/>
        <v/>
      </c>
      <c r="H447" s="3" t="str">
        <f t="shared" si="5"/>
        <v/>
      </c>
      <c r="I447" s="3" t="str">
        <f t="shared" si="5"/>
        <v/>
      </c>
      <c r="J447" s="3" t="str">
        <f t="shared" si="5"/>
        <v xml:space="preserve">    (, @COURSE_CDA_4322),</v>
      </c>
      <c r="K447" s="3" t="str">
        <f t="shared" si="5"/>
        <v/>
      </c>
      <c r="L447" s="3" t="str">
        <f t="shared" si="5"/>
        <v/>
      </c>
      <c r="M447" s="3" t="str">
        <f t="shared" si="5"/>
        <v/>
      </c>
      <c r="N447" s="3" t="str">
        <f t="shared" si="5"/>
        <v/>
      </c>
      <c r="O447" s="3" t="str">
        <f t="shared" si="5"/>
        <v/>
      </c>
      <c r="P447" s="3" t="str">
        <f t="shared" si="5"/>
        <v/>
      </c>
      <c r="Q447" s="3" t="str">
        <f t="shared" si="6"/>
        <v/>
      </c>
      <c r="R447" s="3" t="str">
        <f t="shared" si="6"/>
        <v/>
      </c>
      <c r="S447" s="3" t="str">
        <f t="shared" si="6"/>
        <v/>
      </c>
      <c r="T447" s="3" t="str">
        <f t="shared" si="6"/>
        <v/>
      </c>
      <c r="U447" s="3" t="str">
        <f t="shared" si="6"/>
        <v xml:space="preserve">    (, @COURSE_CAP_4628),</v>
      </c>
      <c r="V447" s="3" t="str">
        <f t="shared" si="6"/>
        <v/>
      </c>
      <c r="W447" s="3" t="str">
        <f t="shared" si="6"/>
        <v/>
      </c>
      <c r="X447" s="3" t="str">
        <f t="shared" si="6"/>
        <v/>
      </c>
      <c r="Y447" s="3" t="str">
        <f t="shared" si="6"/>
        <v/>
      </c>
      <c r="Z447" s="3" t="str">
        <f t="shared" si="6"/>
        <v/>
      </c>
      <c r="AA447" s="3" t="str">
        <f t="shared" si="6"/>
        <v/>
      </c>
      <c r="AB447" s="3" t="str">
        <f t="shared" si="6"/>
        <v xml:space="preserve">    (, @COURSE_CDA_4203L),</v>
      </c>
      <c r="AC447" s="3" t="str">
        <f t="shared" si="6"/>
        <v/>
      </c>
      <c r="AD447" s="3" t="str">
        <f t="shared" si="6"/>
        <v/>
      </c>
      <c r="AE447" s="3" t="str">
        <f t="shared" si="6"/>
        <v/>
      </c>
      <c r="AF447" s="3" t="str">
        <f t="shared" si="6"/>
        <v/>
      </c>
      <c r="AG447" s="3" t="str">
        <f t="shared" si="6"/>
        <v/>
      </c>
      <c r="AH447" s="3" t="str">
        <f t="shared" si="6"/>
        <v/>
      </c>
      <c r="AI447" s="3" t="str">
        <f t="shared" si="6"/>
        <v xml:space="preserve">    (, @COURSE_CAP_4628),</v>
      </c>
      <c r="AJ447" s="3" t="str">
        <f t="shared" si="6"/>
        <v/>
      </c>
      <c r="AK447" s="3" t="str">
        <f t="shared" si="6"/>
        <v xml:space="preserve">    (, @COURSE_CAP_4637),</v>
      </c>
      <c r="AL447" s="3" t="str">
        <f t="shared" si="6"/>
        <v/>
      </c>
      <c r="AM447" s="3" t="str">
        <f t="shared" si="6"/>
        <v/>
      </c>
      <c r="AN447" s="3" t="str">
        <f t="shared" si="6"/>
        <v/>
      </c>
      <c r="AO447" s="3" t="str">
        <f t="shared" si="6"/>
        <v/>
      </c>
      <c r="AP447" s="3" t="str">
        <f t="shared" si="6"/>
        <v/>
      </c>
      <c r="AQ447" s="3" t="str">
        <f t="shared" si="6"/>
        <v/>
      </c>
      <c r="AR447" s="3" t="str">
        <f t="shared" si="6"/>
        <v/>
      </c>
      <c r="AS447" s="3" t="str">
        <f t="shared" si="6"/>
        <v xml:space="preserve">    (, @COURSE_CIS_3362),</v>
      </c>
      <c r="AT447" s="3" t="str">
        <f t="shared" si="6"/>
        <v/>
      </c>
      <c r="AU447" s="3" t="str">
        <f t="shared" si="6"/>
        <v/>
      </c>
      <c r="AV447" s="3" t="str">
        <f t="shared" si="6"/>
        <v/>
      </c>
      <c r="AW447" s="3" t="str">
        <f t="shared" si="6"/>
        <v/>
      </c>
      <c r="AX447" s="3" t="str">
        <f t="shared" si="6"/>
        <v xml:space="preserve">    (, @COURSE_COP_4564),</v>
      </c>
      <c r="AY447" s="3" t="str">
        <f t="shared" si="6"/>
        <v/>
      </c>
      <c r="AZ447" s="3" t="str">
        <f t="shared" si="6"/>
        <v/>
      </c>
      <c r="BA447" s="3" t="str">
        <f t="shared" si="6"/>
        <v/>
      </c>
      <c r="BB447" s="3" t="str">
        <f t="shared" si="6"/>
        <v/>
      </c>
      <c r="BC447" s="3" t="str">
        <f t="shared" si="6"/>
        <v/>
      </c>
      <c r="BD447" s="3" t="str">
        <f t="shared" si="6"/>
        <v/>
      </c>
      <c r="BE447" s="3" t="str">
        <f t="shared" si="6"/>
        <v/>
      </c>
      <c r="BF447" s="3" t="str">
        <f t="shared" si="6"/>
        <v/>
      </c>
    </row>
    <row r="448" spans="1:58" x14ac:dyDescent="0.3">
      <c r="A448" s="3" t="str">
        <f t="shared" si="5"/>
        <v/>
      </c>
      <c r="B448" s="3" t="str">
        <f t="shared" si="5"/>
        <v/>
      </c>
      <c r="C448" s="3" t="str">
        <f t="shared" si="5"/>
        <v/>
      </c>
      <c r="D448" s="3" t="str">
        <f t="shared" si="5"/>
        <v/>
      </c>
      <c r="E448" s="3" t="str">
        <f t="shared" si="5"/>
        <v/>
      </c>
      <c r="F448" s="3" t="str">
        <f t="shared" si="5"/>
        <v/>
      </c>
      <c r="G448" s="3" t="str">
        <f t="shared" si="5"/>
        <v/>
      </c>
      <c r="H448" s="3" t="str">
        <f t="shared" si="5"/>
        <v/>
      </c>
      <c r="I448" s="3" t="str">
        <f t="shared" si="5"/>
        <v/>
      </c>
      <c r="J448" s="3" t="str">
        <f t="shared" si="5"/>
        <v xml:space="preserve">    (, @COURSE_CDA_4621),</v>
      </c>
      <c r="K448" s="3" t="str">
        <f t="shared" si="5"/>
        <v/>
      </c>
      <c r="L448" s="3" t="str">
        <f t="shared" si="5"/>
        <v/>
      </c>
      <c r="M448" s="3" t="str">
        <f t="shared" si="5"/>
        <v/>
      </c>
      <c r="N448" s="3" t="str">
        <f t="shared" si="5"/>
        <v/>
      </c>
      <c r="O448" s="3" t="str">
        <f t="shared" si="5"/>
        <v/>
      </c>
      <c r="P448" s="3" t="str">
        <f t="shared" si="5"/>
        <v/>
      </c>
      <c r="Q448" s="3" t="str">
        <f t="shared" si="6"/>
        <v/>
      </c>
      <c r="R448" s="3" t="str">
        <f t="shared" si="6"/>
        <v/>
      </c>
      <c r="S448" s="3" t="str">
        <f t="shared" si="6"/>
        <v/>
      </c>
      <c r="T448" s="3" t="str">
        <f t="shared" si="6"/>
        <v/>
      </c>
      <c r="U448" s="3" t="str">
        <f t="shared" si="6"/>
        <v xml:space="preserve">    (, @COURSE_CAP_4641),</v>
      </c>
      <c r="V448" s="3" t="str">
        <f t="shared" si="6"/>
        <v/>
      </c>
      <c r="W448" s="3" t="str">
        <f t="shared" si="6"/>
        <v/>
      </c>
      <c r="X448" s="3" t="str">
        <f t="shared" si="6"/>
        <v/>
      </c>
      <c r="Y448" s="3" t="str">
        <f t="shared" si="6"/>
        <v/>
      </c>
      <c r="Z448" s="3" t="str">
        <f t="shared" si="6"/>
        <v/>
      </c>
      <c r="AA448" s="3" t="str">
        <f t="shared" si="6"/>
        <v/>
      </c>
      <c r="AB448" s="3" t="str">
        <f t="shared" si="6"/>
        <v xml:space="preserve">    (, @COURSE_CDA_4213),</v>
      </c>
      <c r="AC448" s="3" t="str">
        <f t="shared" si="6"/>
        <v/>
      </c>
      <c r="AD448" s="3" t="str">
        <f t="shared" si="6"/>
        <v/>
      </c>
      <c r="AE448" s="3" t="str">
        <f t="shared" si="6"/>
        <v/>
      </c>
      <c r="AF448" s="3" t="str">
        <f t="shared" si="6"/>
        <v/>
      </c>
      <c r="AG448" s="3" t="str">
        <f t="shared" si="6"/>
        <v/>
      </c>
      <c r="AH448" s="3" t="str">
        <f t="shared" si="6"/>
        <v/>
      </c>
      <c r="AI448" s="3" t="str">
        <f t="shared" si="6"/>
        <v xml:space="preserve">    (, @COURSE_CAP_4641),</v>
      </c>
      <c r="AJ448" s="3" t="str">
        <f t="shared" si="6"/>
        <v/>
      </c>
      <c r="AK448" s="3" t="str">
        <f t="shared" si="6"/>
        <v xml:space="preserve">    (, @COURSE_CAP_4641),</v>
      </c>
      <c r="AL448" s="3" t="str">
        <f t="shared" si="6"/>
        <v/>
      </c>
      <c r="AM448" s="3" t="str">
        <f t="shared" si="6"/>
        <v/>
      </c>
      <c r="AN448" s="3" t="str">
        <f t="shared" si="6"/>
        <v/>
      </c>
      <c r="AO448" s="3" t="str">
        <f t="shared" si="6"/>
        <v/>
      </c>
      <c r="AP448" s="3" t="str">
        <f t="shared" si="6"/>
        <v/>
      </c>
      <c r="AQ448" s="3" t="str">
        <f t="shared" si="6"/>
        <v/>
      </c>
      <c r="AR448" s="3" t="str">
        <f t="shared" si="6"/>
        <v/>
      </c>
      <c r="AS448" s="3" t="str">
        <f t="shared" si="6"/>
        <v xml:space="preserve">    (, @COURSE_CIS_4361),</v>
      </c>
      <c r="AT448" s="3" t="str">
        <f t="shared" si="6"/>
        <v/>
      </c>
      <c r="AU448" s="3" t="str">
        <f t="shared" si="6"/>
        <v/>
      </c>
      <c r="AV448" s="3" t="str">
        <f t="shared" si="6"/>
        <v/>
      </c>
      <c r="AW448" s="3" t="str">
        <f t="shared" si="6"/>
        <v/>
      </c>
      <c r="AX448" s="3" t="str">
        <f t="shared" si="6"/>
        <v xml:space="preserve">    (, @COURSE_COP_4883),</v>
      </c>
      <c r="AY448" s="3" t="str">
        <f t="shared" si="6"/>
        <v/>
      </c>
      <c r="AZ448" s="3" t="str">
        <f t="shared" si="6"/>
        <v/>
      </c>
      <c r="BA448" s="3" t="str">
        <f t="shared" si="6"/>
        <v/>
      </c>
      <c r="BB448" s="3" t="str">
        <f t="shared" si="6"/>
        <v/>
      </c>
      <c r="BC448" s="3" t="str">
        <f t="shared" si="6"/>
        <v/>
      </c>
      <c r="BD448" s="3" t="str">
        <f t="shared" si="6"/>
        <v/>
      </c>
      <c r="BE448" s="3" t="str">
        <f t="shared" si="6"/>
        <v/>
      </c>
      <c r="BF448" s="3" t="str">
        <f t="shared" si="6"/>
        <v/>
      </c>
    </row>
    <row r="449" spans="1:58" x14ac:dyDescent="0.3">
      <c r="A449" s="3" t="str">
        <f t="shared" si="5"/>
        <v/>
      </c>
      <c r="B449" s="3" t="str">
        <f t="shared" si="5"/>
        <v/>
      </c>
      <c r="C449" s="3" t="str">
        <f t="shared" si="5"/>
        <v/>
      </c>
      <c r="D449" s="3" t="str">
        <f t="shared" si="5"/>
        <v/>
      </c>
      <c r="E449" s="3" t="str">
        <f t="shared" si="5"/>
        <v/>
      </c>
      <c r="F449" s="3" t="str">
        <f t="shared" si="5"/>
        <v/>
      </c>
      <c r="G449" s="3" t="str">
        <f t="shared" si="5"/>
        <v/>
      </c>
      <c r="H449" s="3" t="str">
        <f t="shared" si="5"/>
        <v/>
      </c>
      <c r="I449" s="3" t="str">
        <f t="shared" si="5"/>
        <v/>
      </c>
      <c r="J449" s="3" t="str">
        <f t="shared" si="5"/>
        <v xml:space="preserve">    (, @COURSE_CEN_4020),</v>
      </c>
      <c r="K449" s="3" t="str">
        <f t="shared" si="5"/>
        <v/>
      </c>
      <c r="L449" s="3" t="str">
        <f t="shared" si="5"/>
        <v/>
      </c>
      <c r="M449" s="3" t="str">
        <f t="shared" si="5"/>
        <v/>
      </c>
      <c r="N449" s="3" t="str">
        <f t="shared" si="5"/>
        <v/>
      </c>
      <c r="O449" s="3" t="str">
        <f t="shared" si="5"/>
        <v/>
      </c>
      <c r="P449" s="3" t="str">
        <f t="shared" si="5"/>
        <v/>
      </c>
      <c r="Q449" s="3" t="str">
        <f t="shared" si="6"/>
        <v/>
      </c>
      <c r="R449" s="3" t="str">
        <f t="shared" si="6"/>
        <v/>
      </c>
      <c r="S449" s="3" t="str">
        <f t="shared" si="6"/>
        <v/>
      </c>
      <c r="T449" s="3" t="str">
        <f t="shared" si="6"/>
        <v/>
      </c>
      <c r="U449" s="3" t="str">
        <f t="shared" si="6"/>
        <v xml:space="preserve">    (, @COURSE_CAP_4662),</v>
      </c>
      <c r="V449" s="3" t="str">
        <f t="shared" si="6"/>
        <v/>
      </c>
      <c r="W449" s="3" t="str">
        <f t="shared" si="6"/>
        <v/>
      </c>
      <c r="X449" s="3" t="str">
        <f t="shared" si="6"/>
        <v/>
      </c>
      <c r="Y449" s="3" t="str">
        <f t="shared" si="6"/>
        <v/>
      </c>
      <c r="Z449" s="3" t="str">
        <f t="shared" si="6"/>
        <v/>
      </c>
      <c r="AA449" s="3" t="str">
        <f t="shared" si="6"/>
        <v/>
      </c>
      <c r="AB449" s="3" t="str">
        <f t="shared" si="6"/>
        <v xml:space="preserve">    (, @COURSE_CDA_4213L),</v>
      </c>
      <c r="AC449" s="3" t="str">
        <f t="shared" si="6"/>
        <v/>
      </c>
      <c r="AD449" s="3" t="str">
        <f t="shared" si="6"/>
        <v/>
      </c>
      <c r="AE449" s="3" t="str">
        <f t="shared" si="6"/>
        <v/>
      </c>
      <c r="AF449" s="3" t="str">
        <f t="shared" si="6"/>
        <v/>
      </c>
      <c r="AG449" s="3" t="str">
        <f t="shared" si="6"/>
        <v/>
      </c>
      <c r="AH449" s="3" t="str">
        <f t="shared" si="6"/>
        <v/>
      </c>
      <c r="AI449" s="3" t="str">
        <f t="shared" si="6"/>
        <v xml:space="preserve">    (, @COURSE_CAP_4662),</v>
      </c>
      <c r="AJ449" s="3" t="str">
        <f t="shared" si="6"/>
        <v/>
      </c>
      <c r="AK449" s="3" t="str">
        <f t="shared" si="6"/>
        <v xml:space="preserve">    (, @COURSE_CAP_4662),</v>
      </c>
      <c r="AL449" s="3" t="str">
        <f t="shared" si="6"/>
        <v/>
      </c>
      <c r="AM449" s="3" t="str">
        <f t="shared" si="6"/>
        <v/>
      </c>
      <c r="AN449" s="3" t="str">
        <f t="shared" si="6"/>
        <v/>
      </c>
      <c r="AO449" s="3" t="str">
        <f t="shared" si="6"/>
        <v/>
      </c>
      <c r="AP449" s="3" t="str">
        <f t="shared" si="6"/>
        <v/>
      </c>
      <c r="AQ449" s="3" t="str">
        <f t="shared" si="6"/>
        <v/>
      </c>
      <c r="AR449" s="3" t="str">
        <f t="shared" si="6"/>
        <v/>
      </c>
      <c r="AS449" s="3" t="str">
        <f t="shared" si="6"/>
        <v xml:space="preserve">    (, @COURSE_LIS_4779),</v>
      </c>
      <c r="AT449" s="3" t="str">
        <f t="shared" si="6"/>
        <v/>
      </c>
      <c r="AU449" s="3" t="str">
        <f t="shared" si="6"/>
        <v/>
      </c>
      <c r="AV449" s="3" t="str">
        <f t="shared" si="6"/>
        <v/>
      </c>
      <c r="AW449" s="3" t="str">
        <f t="shared" si="6"/>
        <v/>
      </c>
      <c r="AX449" s="3" t="str">
        <f t="shared" si="6"/>
        <v xml:space="preserve">    (, @COURSE_COP_4900),</v>
      </c>
      <c r="AY449" s="3" t="str">
        <f t="shared" si="6"/>
        <v/>
      </c>
      <c r="AZ449" s="3" t="str">
        <f t="shared" si="6"/>
        <v/>
      </c>
      <c r="BA449" s="3" t="str">
        <f t="shared" si="6"/>
        <v/>
      </c>
      <c r="BB449" s="3" t="str">
        <f t="shared" si="6"/>
        <v/>
      </c>
      <c r="BC449" s="3" t="str">
        <f t="shared" si="6"/>
        <v/>
      </c>
      <c r="BD449" s="3" t="str">
        <f t="shared" si="6"/>
        <v/>
      </c>
      <c r="BE449" s="3" t="str">
        <f t="shared" si="6"/>
        <v/>
      </c>
      <c r="BF449" s="3" t="str">
        <f t="shared" si="6"/>
        <v/>
      </c>
    </row>
    <row r="450" spans="1:58" x14ac:dyDescent="0.3">
      <c r="A450" s="3" t="str">
        <f t="shared" si="5"/>
        <v/>
      </c>
      <c r="B450" s="3" t="str">
        <f t="shared" si="5"/>
        <v/>
      </c>
      <c r="C450" s="3" t="str">
        <f t="shared" si="5"/>
        <v/>
      </c>
      <c r="D450" s="3" t="str">
        <f t="shared" si="5"/>
        <v/>
      </c>
      <c r="E450" s="3" t="str">
        <f t="shared" si="5"/>
        <v/>
      </c>
      <c r="F450" s="3" t="str">
        <f t="shared" si="5"/>
        <v/>
      </c>
      <c r="G450" s="3" t="str">
        <f t="shared" si="5"/>
        <v/>
      </c>
      <c r="H450" s="3" t="str">
        <f t="shared" si="5"/>
        <v/>
      </c>
      <c r="I450" s="3" t="str">
        <f t="shared" si="5"/>
        <v/>
      </c>
      <c r="J450" s="3" t="str">
        <f t="shared" si="5"/>
        <v xml:space="preserve">    (, @COURSE_CEN_4072),</v>
      </c>
      <c r="K450" s="3" t="str">
        <f t="shared" si="5"/>
        <v/>
      </c>
      <c r="L450" s="3" t="str">
        <f t="shared" si="5"/>
        <v/>
      </c>
      <c r="M450" s="3" t="str">
        <f t="shared" si="5"/>
        <v/>
      </c>
      <c r="N450" s="3" t="str">
        <f t="shared" si="5"/>
        <v/>
      </c>
      <c r="O450" s="3" t="str">
        <f t="shared" si="5"/>
        <v/>
      </c>
      <c r="P450" s="3" t="str">
        <f t="shared" si="5"/>
        <v/>
      </c>
      <c r="Q450" s="3" t="str">
        <f t="shared" si="6"/>
        <v/>
      </c>
      <c r="R450" s="3" t="str">
        <f t="shared" si="6"/>
        <v/>
      </c>
      <c r="S450" s="3" t="str">
        <f t="shared" si="6"/>
        <v/>
      </c>
      <c r="T450" s="3" t="str">
        <f t="shared" si="6"/>
        <v/>
      </c>
      <c r="U450" s="3" t="str">
        <f t="shared" si="6"/>
        <v xml:space="preserve">    (, @COURSE_CAP_4744),</v>
      </c>
      <c r="V450" s="3" t="str">
        <f t="shared" si="6"/>
        <v/>
      </c>
      <c r="W450" s="3" t="str">
        <f t="shared" si="6"/>
        <v/>
      </c>
      <c r="X450" s="3" t="str">
        <f t="shared" si="6"/>
        <v/>
      </c>
      <c r="Y450" s="3" t="str">
        <f t="shared" si="6"/>
        <v/>
      </c>
      <c r="Z450" s="3" t="str">
        <f t="shared" si="6"/>
        <v/>
      </c>
      <c r="AA450" s="3" t="str">
        <f t="shared" si="6"/>
        <v/>
      </c>
      <c r="AB450" s="3" t="str">
        <f t="shared" si="6"/>
        <v xml:space="preserve">    (, @COURSE_CDA_4253),</v>
      </c>
      <c r="AC450" s="3" t="str">
        <f t="shared" si="6"/>
        <v/>
      </c>
      <c r="AD450" s="3" t="str">
        <f t="shared" si="6"/>
        <v/>
      </c>
      <c r="AE450" s="3" t="str">
        <f t="shared" si="6"/>
        <v/>
      </c>
      <c r="AF450" s="3" t="str">
        <f t="shared" si="6"/>
        <v/>
      </c>
      <c r="AG450" s="3" t="str">
        <f t="shared" si="6"/>
        <v/>
      </c>
      <c r="AH450" s="3" t="str">
        <f t="shared" si="6"/>
        <v/>
      </c>
      <c r="AI450" s="3" t="str">
        <f t="shared" si="6"/>
        <v xml:space="preserve">    (, @COURSE_CAP_4744),</v>
      </c>
      <c r="AJ450" s="3" t="str">
        <f t="shared" si="6"/>
        <v/>
      </c>
      <c r="AK450" s="3" t="str">
        <f t="shared" si="6"/>
        <v xml:space="preserve">    (, @COURSE_CAP_4744),</v>
      </c>
      <c r="AL450" s="3" t="str">
        <f t="shared" si="6"/>
        <v/>
      </c>
      <c r="AM450" s="3" t="str">
        <f t="shared" si="6"/>
        <v/>
      </c>
      <c r="AN450" s="3" t="str">
        <f t="shared" si="6"/>
        <v/>
      </c>
      <c r="AO450" s="3" t="str">
        <f t="shared" si="6"/>
        <v/>
      </c>
      <c r="AP450" s="3" t="str">
        <f t="shared" si="6"/>
        <v/>
      </c>
      <c r="AQ450" s="3" t="str">
        <f t="shared" si="6"/>
        <v/>
      </c>
      <c r="AR450" s="3" t="str">
        <f t="shared" si="6"/>
        <v/>
      </c>
      <c r="AS450" s="3" t="str">
        <f t="shared" si="6"/>
        <v xml:space="preserve">    (, @COURSE_CIS_4203),</v>
      </c>
      <c r="AT450" s="3" t="str">
        <f t="shared" si="6"/>
        <v/>
      </c>
      <c r="AU450" s="3" t="str">
        <f t="shared" si="6"/>
        <v/>
      </c>
      <c r="AV450" s="3" t="str">
        <f t="shared" si="6"/>
        <v/>
      </c>
      <c r="AW450" s="3" t="str">
        <f t="shared" si="6"/>
        <v/>
      </c>
      <c r="AX450" s="3" t="str">
        <f t="shared" si="6"/>
        <v xml:space="preserve">    (, @COURSE_CTS_4337),</v>
      </c>
      <c r="AY450" s="3" t="str">
        <f t="shared" si="6"/>
        <v/>
      </c>
      <c r="AZ450" s="3" t="str">
        <f t="shared" si="6"/>
        <v/>
      </c>
      <c r="BA450" s="3" t="str">
        <f t="shared" si="6"/>
        <v/>
      </c>
      <c r="BB450" s="3" t="str">
        <f t="shared" si="6"/>
        <v/>
      </c>
      <c r="BC450" s="3" t="str">
        <f t="shared" si="6"/>
        <v/>
      </c>
      <c r="BD450" s="3" t="str">
        <f t="shared" si="6"/>
        <v/>
      </c>
      <c r="BE450" s="3" t="str">
        <f t="shared" si="6"/>
        <v/>
      </c>
      <c r="BF450" s="3" t="str">
        <f t="shared" si="6"/>
        <v/>
      </c>
    </row>
    <row r="451" spans="1:58" x14ac:dyDescent="0.3">
      <c r="A451" s="3" t="str">
        <f t="shared" si="5"/>
        <v/>
      </c>
      <c r="B451" s="3" t="str">
        <f t="shared" si="5"/>
        <v/>
      </c>
      <c r="C451" s="3" t="str">
        <f t="shared" si="5"/>
        <v/>
      </c>
      <c r="D451" s="3" t="str">
        <f t="shared" si="5"/>
        <v/>
      </c>
      <c r="E451" s="3" t="str">
        <f t="shared" si="5"/>
        <v/>
      </c>
      <c r="F451" s="3" t="str">
        <f t="shared" si="5"/>
        <v/>
      </c>
      <c r="G451" s="3" t="str">
        <f t="shared" si="5"/>
        <v/>
      </c>
      <c r="H451" s="3" t="str">
        <f t="shared" si="5"/>
        <v/>
      </c>
      <c r="I451" s="3" t="str">
        <f t="shared" si="5"/>
        <v/>
      </c>
      <c r="J451" s="3" t="str">
        <f t="shared" si="5"/>
        <v xml:space="preserve">    (, @COURSE_CIS_4212),</v>
      </c>
      <c r="K451" s="3" t="str">
        <f t="shared" si="5"/>
        <v/>
      </c>
      <c r="L451" s="3" t="str">
        <f t="shared" si="5"/>
        <v/>
      </c>
      <c r="M451" s="3" t="str">
        <f t="shared" si="5"/>
        <v/>
      </c>
      <c r="N451" s="3" t="str">
        <f t="shared" si="5"/>
        <v/>
      </c>
      <c r="O451" s="3" t="str">
        <f t="shared" si="5"/>
        <v/>
      </c>
      <c r="P451" s="3" t="str">
        <f t="shared" si="5"/>
        <v/>
      </c>
      <c r="Q451" s="3" t="str">
        <f t="shared" si="6"/>
        <v/>
      </c>
      <c r="R451" s="3" t="str">
        <f t="shared" si="6"/>
        <v/>
      </c>
      <c r="S451" s="3" t="str">
        <f t="shared" si="6"/>
        <v/>
      </c>
      <c r="T451" s="3" t="str">
        <f t="shared" ref="B451:BF455" si="7">IF(T412 &lt;&gt; "", "    (" &amp; MID(T$1, 5, 100) &amp; ", @COURSE_" &amp; MID(T412, 1, 3) &amp; "_" &amp; MID(T412, 5, 10) &amp; "),", "")</f>
        <v/>
      </c>
      <c r="U451" s="3" t="str">
        <f t="shared" si="7"/>
        <v xml:space="preserve">    (, @COURSE_CDA_4253),</v>
      </c>
      <c r="V451" s="3" t="str">
        <f t="shared" si="7"/>
        <v/>
      </c>
      <c r="W451" s="3" t="str">
        <f t="shared" si="7"/>
        <v/>
      </c>
      <c r="X451" s="3" t="str">
        <f t="shared" si="7"/>
        <v/>
      </c>
      <c r="Y451" s="3" t="str">
        <f t="shared" si="7"/>
        <v/>
      </c>
      <c r="Z451" s="3" t="str">
        <f t="shared" si="7"/>
        <v/>
      </c>
      <c r="AA451" s="3" t="str">
        <f t="shared" si="7"/>
        <v/>
      </c>
      <c r="AB451" s="3" t="str">
        <f t="shared" si="7"/>
        <v xml:space="preserve">    (, @COURSE_CDA_4322),</v>
      </c>
      <c r="AC451" s="3" t="str">
        <f t="shared" si="7"/>
        <v/>
      </c>
      <c r="AD451" s="3" t="str">
        <f t="shared" si="7"/>
        <v/>
      </c>
      <c r="AE451" s="3" t="str">
        <f t="shared" si="7"/>
        <v/>
      </c>
      <c r="AF451" s="3" t="str">
        <f t="shared" si="7"/>
        <v/>
      </c>
      <c r="AG451" s="3" t="str">
        <f t="shared" si="7"/>
        <v/>
      </c>
      <c r="AH451" s="3" t="str">
        <f t="shared" si="7"/>
        <v/>
      </c>
      <c r="AI451" s="3" t="str">
        <f t="shared" si="7"/>
        <v xml:space="preserve">    (, @COURSE_CDA_4621),</v>
      </c>
      <c r="AJ451" s="3" t="str">
        <f t="shared" si="7"/>
        <v/>
      </c>
      <c r="AK451" s="3" t="str">
        <f t="shared" si="7"/>
        <v xml:space="preserve">    (, @COURSE_CDA_4203),</v>
      </c>
      <c r="AL451" s="3" t="str">
        <f t="shared" si="7"/>
        <v/>
      </c>
      <c r="AM451" s="3" t="str">
        <f t="shared" si="7"/>
        <v/>
      </c>
      <c r="AN451" s="3" t="str">
        <f t="shared" si="7"/>
        <v/>
      </c>
      <c r="AO451" s="3" t="str">
        <f t="shared" si="7"/>
        <v/>
      </c>
      <c r="AP451" s="3" t="str">
        <f t="shared" si="7"/>
        <v/>
      </c>
      <c r="AQ451" s="3" t="str">
        <f t="shared" si="7"/>
        <v/>
      </c>
      <c r="AR451" s="3" t="str">
        <f t="shared" si="7"/>
        <v/>
      </c>
      <c r="AS451" s="3" t="str">
        <f t="shared" si="7"/>
        <v xml:space="preserve">    (, @COURSE_CIS_4368),</v>
      </c>
      <c r="AT451" s="3" t="str">
        <f t="shared" si="7"/>
        <v/>
      </c>
      <c r="AU451" s="3" t="str">
        <f t="shared" si="7"/>
        <v/>
      </c>
      <c r="AV451" s="3" t="str">
        <f t="shared" si="7"/>
        <v/>
      </c>
      <c r="AW451" s="3" t="str">
        <f t="shared" si="7"/>
        <v/>
      </c>
      <c r="AX451" s="3" t="str">
        <f t="shared" si="7"/>
        <v/>
      </c>
      <c r="AY451" s="3" t="str">
        <f t="shared" si="7"/>
        <v/>
      </c>
      <c r="AZ451" s="3" t="str">
        <f t="shared" si="7"/>
        <v/>
      </c>
      <c r="BA451" s="3" t="str">
        <f t="shared" si="7"/>
        <v/>
      </c>
      <c r="BB451" s="3" t="str">
        <f t="shared" si="7"/>
        <v/>
      </c>
      <c r="BC451" s="3" t="str">
        <f t="shared" si="7"/>
        <v/>
      </c>
      <c r="BD451" s="3" t="str">
        <f t="shared" si="7"/>
        <v/>
      </c>
      <c r="BE451" s="3" t="str">
        <f t="shared" si="7"/>
        <v/>
      </c>
      <c r="BF451" s="3" t="str">
        <f t="shared" si="7"/>
        <v/>
      </c>
    </row>
    <row r="452" spans="1:58" x14ac:dyDescent="0.3">
      <c r="A452" s="3" t="str">
        <f t="shared" si="5"/>
        <v/>
      </c>
      <c r="B452" s="3" t="str">
        <f t="shared" si="7"/>
        <v/>
      </c>
      <c r="C452" s="3" t="str">
        <f t="shared" si="7"/>
        <v/>
      </c>
      <c r="D452" s="3" t="str">
        <f t="shared" si="7"/>
        <v/>
      </c>
      <c r="E452" s="3" t="str">
        <f t="shared" si="7"/>
        <v/>
      </c>
      <c r="F452" s="3" t="str">
        <f t="shared" si="7"/>
        <v/>
      </c>
      <c r="G452" s="3" t="str">
        <f t="shared" si="7"/>
        <v/>
      </c>
      <c r="H452" s="3" t="str">
        <f t="shared" si="7"/>
        <v/>
      </c>
      <c r="I452" s="3" t="str">
        <f t="shared" si="7"/>
        <v/>
      </c>
      <c r="J452" s="3" t="str">
        <f t="shared" si="7"/>
        <v xml:space="preserve">    (, @COURSE_CIS_4345),</v>
      </c>
      <c r="K452" s="3" t="str">
        <f t="shared" si="7"/>
        <v/>
      </c>
      <c r="L452" s="3" t="str">
        <f t="shared" si="7"/>
        <v/>
      </c>
      <c r="M452" s="3" t="str">
        <f t="shared" si="7"/>
        <v/>
      </c>
      <c r="N452" s="3" t="str">
        <f t="shared" si="7"/>
        <v/>
      </c>
      <c r="O452" s="3" t="str">
        <f t="shared" si="7"/>
        <v/>
      </c>
      <c r="P452" s="3" t="str">
        <f t="shared" si="7"/>
        <v/>
      </c>
      <c r="Q452" s="3" t="str">
        <f t="shared" si="7"/>
        <v/>
      </c>
      <c r="R452" s="3" t="str">
        <f t="shared" si="7"/>
        <v/>
      </c>
      <c r="S452" s="3" t="str">
        <f t="shared" si="7"/>
        <v/>
      </c>
      <c r="T452" s="3" t="str">
        <f t="shared" si="7"/>
        <v/>
      </c>
      <c r="U452" s="3" t="str">
        <f t="shared" si="7"/>
        <v xml:space="preserve">    (, @COURSE_CDA_4321),</v>
      </c>
      <c r="V452" s="3" t="str">
        <f t="shared" si="7"/>
        <v/>
      </c>
      <c r="W452" s="3" t="str">
        <f t="shared" si="7"/>
        <v/>
      </c>
      <c r="X452" s="3" t="str">
        <f t="shared" si="7"/>
        <v/>
      </c>
      <c r="Y452" s="3" t="str">
        <f t="shared" si="7"/>
        <v/>
      </c>
      <c r="Z452" s="3" t="str">
        <f t="shared" si="7"/>
        <v/>
      </c>
      <c r="AA452" s="3" t="str">
        <f t="shared" si="7"/>
        <v/>
      </c>
      <c r="AB452" s="3" t="str">
        <f t="shared" si="7"/>
        <v xml:space="preserve">    (, @COURSE_CDA_4621),</v>
      </c>
      <c r="AC452" s="3" t="str">
        <f t="shared" si="7"/>
        <v/>
      </c>
      <c r="AD452" s="3" t="str">
        <f t="shared" si="7"/>
        <v/>
      </c>
      <c r="AE452" s="3" t="str">
        <f t="shared" si="7"/>
        <v/>
      </c>
      <c r="AF452" s="3" t="str">
        <f t="shared" si="7"/>
        <v/>
      </c>
      <c r="AG452" s="3" t="str">
        <f t="shared" si="7"/>
        <v/>
      </c>
      <c r="AH452" s="3" t="str">
        <f t="shared" si="7"/>
        <v/>
      </c>
      <c r="AI452" s="3" t="str">
        <f t="shared" si="7"/>
        <v xml:space="preserve">    (, @COURSE_CEN_4072),</v>
      </c>
      <c r="AJ452" s="3" t="str">
        <f t="shared" si="7"/>
        <v/>
      </c>
      <c r="AK452" s="3" t="str">
        <f t="shared" si="7"/>
        <v xml:space="preserve">    (, @COURSE_CDA_4203L),</v>
      </c>
      <c r="AL452" s="3" t="str">
        <f t="shared" si="7"/>
        <v/>
      </c>
      <c r="AM452" s="3" t="str">
        <f t="shared" si="7"/>
        <v/>
      </c>
      <c r="AN452" s="3" t="str">
        <f t="shared" si="7"/>
        <v/>
      </c>
      <c r="AO452" s="3" t="str">
        <f t="shared" si="7"/>
        <v/>
      </c>
      <c r="AP452" s="3" t="str">
        <f t="shared" si="7"/>
        <v/>
      </c>
      <c r="AQ452" s="3" t="str">
        <f t="shared" si="7"/>
        <v/>
      </c>
      <c r="AR452" s="3" t="str">
        <f t="shared" si="7"/>
        <v/>
      </c>
      <c r="AS452" s="3" t="str">
        <f t="shared" si="7"/>
        <v xml:space="preserve">    (, @COURSE_ISM_4041),</v>
      </c>
      <c r="AT452" s="3" t="str">
        <f t="shared" si="7"/>
        <v/>
      </c>
      <c r="AU452" s="3" t="str">
        <f t="shared" si="7"/>
        <v/>
      </c>
      <c r="AV452" s="3" t="str">
        <f t="shared" si="7"/>
        <v/>
      </c>
      <c r="AW452" s="3" t="str">
        <f t="shared" si="7"/>
        <v/>
      </c>
      <c r="AX452" s="3" t="str">
        <f t="shared" si="7"/>
        <v/>
      </c>
      <c r="AY452" s="3" t="str">
        <f t="shared" si="7"/>
        <v/>
      </c>
      <c r="AZ452" s="3" t="str">
        <f t="shared" si="7"/>
        <v/>
      </c>
      <c r="BA452" s="3" t="str">
        <f t="shared" si="7"/>
        <v/>
      </c>
      <c r="BB452" s="3" t="str">
        <f t="shared" si="7"/>
        <v/>
      </c>
      <c r="BC452" s="3" t="str">
        <f t="shared" si="7"/>
        <v/>
      </c>
      <c r="BD452" s="3" t="str">
        <f t="shared" si="7"/>
        <v/>
      </c>
      <c r="BE452" s="3" t="str">
        <f t="shared" si="7"/>
        <v/>
      </c>
      <c r="BF452" s="3" t="str">
        <f t="shared" si="7"/>
        <v/>
      </c>
    </row>
    <row r="453" spans="1:58" x14ac:dyDescent="0.3">
      <c r="A453" s="3" t="str">
        <f t="shared" si="5"/>
        <v/>
      </c>
      <c r="B453" s="3" t="str">
        <f t="shared" si="7"/>
        <v/>
      </c>
      <c r="C453" s="3" t="str">
        <f t="shared" si="7"/>
        <v/>
      </c>
      <c r="D453" s="3" t="str">
        <f t="shared" si="7"/>
        <v/>
      </c>
      <c r="E453" s="3" t="str">
        <f t="shared" si="7"/>
        <v/>
      </c>
      <c r="F453" s="3" t="str">
        <f t="shared" si="7"/>
        <v/>
      </c>
      <c r="G453" s="3" t="str">
        <f t="shared" si="7"/>
        <v/>
      </c>
      <c r="H453" s="3" t="str">
        <f t="shared" si="7"/>
        <v/>
      </c>
      <c r="I453" s="3" t="str">
        <f t="shared" si="7"/>
        <v/>
      </c>
      <c r="J453" s="3" t="str">
        <f t="shared" si="7"/>
        <v xml:space="preserve">    (, @COURSE_CIS_4364),</v>
      </c>
      <c r="K453" s="3" t="str">
        <f t="shared" si="7"/>
        <v/>
      </c>
      <c r="L453" s="3" t="str">
        <f t="shared" si="7"/>
        <v/>
      </c>
      <c r="M453" s="3" t="str">
        <f t="shared" si="7"/>
        <v/>
      </c>
      <c r="N453" s="3" t="str">
        <f t="shared" si="7"/>
        <v/>
      </c>
      <c r="O453" s="3" t="str">
        <f t="shared" si="7"/>
        <v/>
      </c>
      <c r="P453" s="3" t="str">
        <f t="shared" si="7"/>
        <v/>
      </c>
      <c r="Q453" s="3" t="str">
        <f t="shared" si="7"/>
        <v/>
      </c>
      <c r="R453" s="3" t="str">
        <f t="shared" si="7"/>
        <v/>
      </c>
      <c r="S453" s="3" t="str">
        <f t="shared" si="7"/>
        <v/>
      </c>
      <c r="T453" s="3" t="str">
        <f t="shared" si="7"/>
        <v/>
      </c>
      <c r="U453" s="3" t="str">
        <f t="shared" si="7"/>
        <v xml:space="preserve">    (, @COURSE_CDA_4322),</v>
      </c>
      <c r="V453" s="3" t="str">
        <f t="shared" si="7"/>
        <v/>
      </c>
      <c r="W453" s="3" t="str">
        <f t="shared" si="7"/>
        <v/>
      </c>
      <c r="X453" s="3" t="str">
        <f t="shared" si="7"/>
        <v/>
      </c>
      <c r="Y453" s="3" t="str">
        <f t="shared" si="7"/>
        <v/>
      </c>
      <c r="Z453" s="3" t="str">
        <f t="shared" si="7"/>
        <v/>
      </c>
      <c r="AA453" s="3" t="str">
        <f t="shared" si="7"/>
        <v/>
      </c>
      <c r="AB453" s="3" t="str">
        <f t="shared" si="7"/>
        <v xml:space="preserve">    (, @COURSE_CEN_4072),</v>
      </c>
      <c r="AC453" s="3" t="str">
        <f t="shared" si="7"/>
        <v/>
      </c>
      <c r="AD453" s="3" t="str">
        <f t="shared" si="7"/>
        <v/>
      </c>
      <c r="AE453" s="3" t="str">
        <f t="shared" si="7"/>
        <v/>
      </c>
      <c r="AF453" s="3" t="str">
        <f t="shared" si="7"/>
        <v/>
      </c>
      <c r="AG453" s="3" t="str">
        <f t="shared" si="7"/>
        <v/>
      </c>
      <c r="AH453" s="3" t="str">
        <f t="shared" si="7"/>
        <v/>
      </c>
      <c r="AI453" s="3" t="str">
        <f t="shared" si="7"/>
        <v xml:space="preserve">    (, @COURSE_CIS_4345),</v>
      </c>
      <c r="AJ453" s="3" t="str">
        <f t="shared" si="7"/>
        <v/>
      </c>
      <c r="AK453" s="3" t="str">
        <f t="shared" si="7"/>
        <v xml:space="preserve">    (, @COURSE_CDA_4213),</v>
      </c>
      <c r="AL453" s="3" t="str">
        <f t="shared" si="7"/>
        <v/>
      </c>
      <c r="AM453" s="3" t="str">
        <f t="shared" si="7"/>
        <v/>
      </c>
      <c r="AN453" s="3" t="str">
        <f t="shared" si="7"/>
        <v/>
      </c>
      <c r="AO453" s="3" t="str">
        <f t="shared" si="7"/>
        <v/>
      </c>
      <c r="AP453" s="3" t="str">
        <f t="shared" si="7"/>
        <v/>
      </c>
      <c r="AQ453" s="3" t="str">
        <f t="shared" si="7"/>
        <v/>
      </c>
      <c r="AR453" s="3" t="str">
        <f t="shared" si="7"/>
        <v/>
      </c>
      <c r="AS453" s="3" t="str">
        <f t="shared" si="7"/>
        <v xml:space="preserve">    (, @COURSE_EDG_3801),</v>
      </c>
      <c r="AT453" s="3" t="str">
        <f t="shared" si="7"/>
        <v/>
      </c>
      <c r="AU453" s="3" t="str">
        <f t="shared" si="7"/>
        <v/>
      </c>
      <c r="AV453" s="3" t="str">
        <f t="shared" si="7"/>
        <v/>
      </c>
      <c r="AW453" s="3" t="str">
        <f t="shared" si="7"/>
        <v/>
      </c>
      <c r="AX453" s="3" t="str">
        <f t="shared" si="7"/>
        <v/>
      </c>
      <c r="AY453" s="3" t="str">
        <f t="shared" si="7"/>
        <v/>
      </c>
      <c r="AZ453" s="3" t="str">
        <f t="shared" si="7"/>
        <v/>
      </c>
      <c r="BA453" s="3" t="str">
        <f t="shared" si="7"/>
        <v/>
      </c>
      <c r="BB453" s="3" t="str">
        <f t="shared" si="7"/>
        <v/>
      </c>
      <c r="BC453" s="3" t="str">
        <f t="shared" si="7"/>
        <v/>
      </c>
      <c r="BD453" s="3" t="str">
        <f t="shared" si="7"/>
        <v/>
      </c>
      <c r="BE453" s="3" t="str">
        <f t="shared" si="7"/>
        <v/>
      </c>
      <c r="BF453" s="3" t="str">
        <f t="shared" si="7"/>
        <v/>
      </c>
    </row>
    <row r="454" spans="1:58" x14ac:dyDescent="0.3">
      <c r="A454" s="3" t="str">
        <f t="shared" si="5"/>
        <v/>
      </c>
      <c r="B454" s="3" t="str">
        <f t="shared" si="7"/>
        <v/>
      </c>
      <c r="C454" s="3" t="str">
        <f t="shared" si="7"/>
        <v/>
      </c>
      <c r="D454" s="3" t="str">
        <f t="shared" si="7"/>
        <v/>
      </c>
      <c r="E454" s="3" t="str">
        <f t="shared" si="7"/>
        <v/>
      </c>
      <c r="F454" s="3" t="str">
        <f t="shared" si="7"/>
        <v/>
      </c>
      <c r="G454" s="3" t="str">
        <f t="shared" si="7"/>
        <v/>
      </c>
      <c r="H454" s="3" t="str">
        <f t="shared" si="7"/>
        <v/>
      </c>
      <c r="I454" s="3" t="str">
        <f t="shared" si="7"/>
        <v/>
      </c>
      <c r="J454" s="3" t="str">
        <f t="shared" si="7"/>
        <v xml:space="preserve">    (, @COURSE_CIS_4623),</v>
      </c>
      <c r="K454" s="3" t="str">
        <f t="shared" si="7"/>
        <v/>
      </c>
      <c r="L454" s="3" t="str">
        <f t="shared" si="7"/>
        <v/>
      </c>
      <c r="M454" s="3" t="str">
        <f t="shared" si="7"/>
        <v/>
      </c>
      <c r="N454" s="3" t="str">
        <f t="shared" si="7"/>
        <v/>
      </c>
      <c r="O454" s="3" t="str">
        <f t="shared" si="7"/>
        <v/>
      </c>
      <c r="P454" s="3" t="str">
        <f t="shared" si="7"/>
        <v/>
      </c>
      <c r="Q454" s="3" t="str">
        <f t="shared" si="7"/>
        <v/>
      </c>
      <c r="R454" s="3" t="str">
        <f t="shared" si="7"/>
        <v/>
      </c>
      <c r="S454" s="3" t="str">
        <f t="shared" si="7"/>
        <v/>
      </c>
      <c r="T454" s="3" t="str">
        <f t="shared" si="7"/>
        <v/>
      </c>
      <c r="U454" s="3" t="str">
        <f t="shared" si="7"/>
        <v xml:space="preserve">    (, @COURSE_CDA_4323),</v>
      </c>
      <c r="V454" s="3" t="str">
        <f t="shared" si="7"/>
        <v/>
      </c>
      <c r="W454" s="3" t="str">
        <f t="shared" si="7"/>
        <v/>
      </c>
      <c r="X454" s="3" t="str">
        <f t="shared" si="7"/>
        <v/>
      </c>
      <c r="Y454" s="3" t="str">
        <f t="shared" si="7"/>
        <v/>
      </c>
      <c r="Z454" s="3" t="str">
        <f t="shared" si="7"/>
        <v/>
      </c>
      <c r="AA454" s="3" t="str">
        <f t="shared" si="7"/>
        <v/>
      </c>
      <c r="AB454" s="3" t="str">
        <f t="shared" si="7"/>
        <v xml:space="preserve">    (, @COURSE_CIS_4212),</v>
      </c>
      <c r="AC454" s="3" t="str">
        <f t="shared" si="7"/>
        <v/>
      </c>
      <c r="AD454" s="3" t="str">
        <f t="shared" si="7"/>
        <v/>
      </c>
      <c r="AE454" s="3" t="str">
        <f t="shared" si="7"/>
        <v/>
      </c>
      <c r="AF454" s="3" t="str">
        <f t="shared" si="7"/>
        <v/>
      </c>
      <c r="AG454" s="3" t="str">
        <f t="shared" si="7"/>
        <v/>
      </c>
      <c r="AH454" s="3" t="str">
        <f t="shared" si="7"/>
        <v/>
      </c>
      <c r="AI454" s="3" t="str">
        <f t="shared" si="7"/>
        <v xml:space="preserve">    (, @COURSE_CNT_4004),</v>
      </c>
      <c r="AJ454" s="3" t="str">
        <f t="shared" si="7"/>
        <v/>
      </c>
      <c r="AK454" s="3" t="str">
        <f t="shared" si="7"/>
        <v xml:space="preserve">    (, @COURSE_CDA_4213L),</v>
      </c>
      <c r="AL454" s="3" t="str">
        <f t="shared" si="7"/>
        <v/>
      </c>
      <c r="AM454" s="3" t="str">
        <f t="shared" si="7"/>
        <v/>
      </c>
      <c r="AN454" s="3" t="str">
        <f t="shared" si="7"/>
        <v/>
      </c>
      <c r="AO454" s="3" t="str">
        <f t="shared" si="7"/>
        <v/>
      </c>
      <c r="AP454" s="3" t="str">
        <f t="shared" si="7"/>
        <v/>
      </c>
      <c r="AQ454" s="3" t="str">
        <f t="shared" si="7"/>
        <v/>
      </c>
      <c r="AR454" s="3" t="str">
        <f t="shared" si="7"/>
        <v/>
      </c>
      <c r="AS454" s="3" t="str">
        <f t="shared" si="7"/>
        <v/>
      </c>
      <c r="AT454" s="3" t="str">
        <f t="shared" si="7"/>
        <v/>
      </c>
      <c r="AU454" s="3" t="str">
        <f t="shared" si="7"/>
        <v/>
      </c>
      <c r="AV454" s="3" t="str">
        <f t="shared" si="7"/>
        <v/>
      </c>
      <c r="AW454" s="3" t="str">
        <f t="shared" si="7"/>
        <v/>
      </c>
      <c r="AX454" s="3" t="str">
        <f t="shared" si="7"/>
        <v/>
      </c>
      <c r="AY454" s="3" t="str">
        <f t="shared" si="7"/>
        <v/>
      </c>
      <c r="AZ454" s="3" t="str">
        <f t="shared" si="7"/>
        <v/>
      </c>
      <c r="BA454" s="3" t="str">
        <f t="shared" si="7"/>
        <v/>
      </c>
      <c r="BB454" s="3" t="str">
        <f t="shared" si="7"/>
        <v/>
      </c>
      <c r="BC454" s="3" t="str">
        <f t="shared" si="7"/>
        <v/>
      </c>
      <c r="BD454" s="3" t="str">
        <f t="shared" si="7"/>
        <v/>
      </c>
      <c r="BE454" s="3" t="str">
        <f t="shared" si="7"/>
        <v/>
      </c>
      <c r="BF454" s="3" t="str">
        <f t="shared" si="7"/>
        <v/>
      </c>
    </row>
    <row r="455" spans="1:58" x14ac:dyDescent="0.3">
      <c r="A455" s="3" t="str">
        <f t="shared" si="5"/>
        <v/>
      </c>
      <c r="B455" s="3" t="str">
        <f t="shared" si="7"/>
        <v/>
      </c>
      <c r="C455" s="3" t="str">
        <f t="shared" si="7"/>
        <v/>
      </c>
      <c r="D455" s="3" t="str">
        <f t="shared" si="7"/>
        <v/>
      </c>
      <c r="E455" s="3" t="str">
        <f t="shared" si="7"/>
        <v/>
      </c>
      <c r="F455" s="3" t="str">
        <f t="shared" si="7"/>
        <v/>
      </c>
      <c r="G455" s="3" t="str">
        <f t="shared" si="7"/>
        <v/>
      </c>
      <c r="H455" s="3" t="str">
        <f t="shared" si="7"/>
        <v/>
      </c>
      <c r="I455" s="3" t="str">
        <f t="shared" si="7"/>
        <v/>
      </c>
      <c r="J455" s="3" t="str">
        <f t="shared" si="7"/>
        <v xml:space="preserve">    (, @COURSE_CIS_4900),</v>
      </c>
      <c r="K455" s="3" t="str">
        <f t="shared" si="7"/>
        <v/>
      </c>
      <c r="L455" s="3" t="str">
        <f t="shared" si="7"/>
        <v/>
      </c>
      <c r="M455" s="3" t="str">
        <f t="shared" si="7"/>
        <v/>
      </c>
      <c r="N455" s="3" t="str">
        <f t="shared" si="7"/>
        <v/>
      </c>
      <c r="O455" s="3" t="str">
        <f t="shared" si="7"/>
        <v/>
      </c>
      <c r="P455" s="3" t="str">
        <f t="shared" si="7"/>
        <v/>
      </c>
      <c r="Q455" s="3" t="str">
        <f t="shared" si="7"/>
        <v/>
      </c>
      <c r="R455" s="3" t="str">
        <f t="shared" si="7"/>
        <v/>
      </c>
      <c r="S455" s="3" t="str">
        <f t="shared" si="7"/>
        <v/>
      </c>
      <c r="T455" s="3" t="str">
        <f t="shared" si="7"/>
        <v/>
      </c>
      <c r="U455" s="3" t="str">
        <f t="shared" si="7"/>
        <v xml:space="preserve">    (, @COURSE_CDA_4621),</v>
      </c>
      <c r="V455" s="3" t="str">
        <f t="shared" si="7"/>
        <v/>
      </c>
      <c r="W455" s="3" t="str">
        <f t="shared" si="7"/>
        <v/>
      </c>
      <c r="X455" s="3" t="str">
        <f t="shared" si="7"/>
        <v/>
      </c>
      <c r="Y455" s="3" t="str">
        <f t="shared" si="7"/>
        <v/>
      </c>
      <c r="Z455" s="3" t="str">
        <f t="shared" si="7"/>
        <v/>
      </c>
      <c r="AA455" s="3" t="str">
        <f t="shared" si="7"/>
        <v/>
      </c>
      <c r="AB455" s="3" t="str">
        <f t="shared" si="7"/>
        <v xml:space="preserve">    (, @COURSE_CIS_4345),</v>
      </c>
      <c r="AC455" s="3" t="str">
        <f t="shared" si="7"/>
        <v/>
      </c>
      <c r="AD455" s="3" t="str">
        <f t="shared" si="7"/>
        <v/>
      </c>
      <c r="AE455" s="3" t="str">
        <f t="shared" si="7"/>
        <v/>
      </c>
      <c r="AF455" s="3" t="str">
        <f t="shared" si="7"/>
        <v/>
      </c>
      <c r="AG455" s="3" t="str">
        <f t="shared" si="7"/>
        <v/>
      </c>
      <c r="AH455" s="3" t="str">
        <f t="shared" si="7"/>
        <v/>
      </c>
      <c r="AI455" s="3" t="str">
        <f t="shared" si="7"/>
        <v xml:space="preserve">    (, @COURSE_CNT_4411),</v>
      </c>
      <c r="AJ455" s="3" t="str">
        <f t="shared" si="7"/>
        <v/>
      </c>
      <c r="AK455" s="3" t="str">
        <f t="shared" si="7"/>
        <v xml:space="preserve">    (, @COURSE_CDA_4253),</v>
      </c>
      <c r="AL455" s="3" t="str">
        <f t="shared" si="7"/>
        <v/>
      </c>
      <c r="AM455" s="3" t="str">
        <f t="shared" si="7"/>
        <v/>
      </c>
      <c r="AN455" s="3" t="str">
        <f t="shared" si="7"/>
        <v/>
      </c>
      <c r="AO455" s="3" t="str">
        <f t="shared" si="7"/>
        <v/>
      </c>
      <c r="AP455" s="3" t="str">
        <f t="shared" si="7"/>
        <v/>
      </c>
      <c r="AQ455" s="3" t="str">
        <f t="shared" si="7"/>
        <v/>
      </c>
      <c r="AR455" s="3" t="str">
        <f t="shared" si="7"/>
        <v/>
      </c>
      <c r="AS455" s="3" t="str">
        <f t="shared" si="7"/>
        <v/>
      </c>
      <c r="AT455" s="3" t="str">
        <f t="shared" si="7"/>
        <v/>
      </c>
      <c r="AU455" s="3" t="str">
        <f t="shared" ref="B455:BF460" si="8">IF(AU416 &lt;&gt; "", "    (" &amp; MID(AU$1, 5, 100) &amp; ", @COURSE_" &amp; MID(AU416, 1, 3) &amp; "_" &amp; MID(AU416, 5, 10) &amp; "),", "")</f>
        <v/>
      </c>
      <c r="AV455" s="3" t="str">
        <f t="shared" si="8"/>
        <v/>
      </c>
      <c r="AW455" s="3" t="str">
        <f t="shared" si="8"/>
        <v/>
      </c>
      <c r="AX455" s="3" t="str">
        <f t="shared" si="8"/>
        <v/>
      </c>
      <c r="AY455" s="3" t="str">
        <f t="shared" si="8"/>
        <v/>
      </c>
      <c r="AZ455" s="3" t="str">
        <f t="shared" si="8"/>
        <v/>
      </c>
      <c r="BA455" s="3" t="str">
        <f t="shared" si="8"/>
        <v/>
      </c>
      <c r="BB455" s="3" t="str">
        <f t="shared" si="8"/>
        <v/>
      </c>
      <c r="BC455" s="3" t="str">
        <f t="shared" si="8"/>
        <v/>
      </c>
      <c r="BD455" s="3" t="str">
        <f t="shared" si="8"/>
        <v/>
      </c>
      <c r="BE455" s="3" t="str">
        <f t="shared" si="8"/>
        <v/>
      </c>
      <c r="BF455" s="3" t="str">
        <f t="shared" si="8"/>
        <v/>
      </c>
    </row>
    <row r="456" spans="1:58" x14ac:dyDescent="0.3">
      <c r="A456" s="3" t="str">
        <f t="shared" si="5"/>
        <v/>
      </c>
      <c r="B456" s="3" t="str">
        <f t="shared" si="8"/>
        <v/>
      </c>
      <c r="C456" s="3" t="str">
        <f t="shared" si="8"/>
        <v/>
      </c>
      <c r="D456" s="3" t="str">
        <f t="shared" si="8"/>
        <v/>
      </c>
      <c r="E456" s="3" t="str">
        <f t="shared" si="8"/>
        <v/>
      </c>
      <c r="F456" s="3" t="str">
        <f t="shared" si="8"/>
        <v/>
      </c>
      <c r="G456" s="3" t="str">
        <f t="shared" si="8"/>
        <v/>
      </c>
      <c r="H456" s="3" t="str">
        <f t="shared" si="8"/>
        <v/>
      </c>
      <c r="I456" s="3" t="str">
        <f t="shared" si="8"/>
        <v/>
      </c>
      <c r="J456" s="3" t="str">
        <f t="shared" si="8"/>
        <v xml:space="preserve">    (, @COURSE_CIS_4915),</v>
      </c>
      <c r="K456" s="3" t="str">
        <f t="shared" si="8"/>
        <v/>
      </c>
      <c r="L456" s="3" t="str">
        <f t="shared" si="8"/>
        <v/>
      </c>
      <c r="M456" s="3" t="str">
        <f t="shared" si="8"/>
        <v/>
      </c>
      <c r="N456" s="3" t="str">
        <f t="shared" si="8"/>
        <v/>
      </c>
      <c r="O456" s="3" t="str">
        <f t="shared" si="8"/>
        <v/>
      </c>
      <c r="P456" s="3" t="str">
        <f t="shared" si="8"/>
        <v/>
      </c>
      <c r="Q456" s="3" t="str">
        <f t="shared" si="8"/>
        <v/>
      </c>
      <c r="R456" s="3" t="str">
        <f t="shared" si="8"/>
        <v/>
      </c>
      <c r="S456" s="3" t="str">
        <f t="shared" si="8"/>
        <v/>
      </c>
      <c r="T456" s="3" t="str">
        <f t="shared" si="8"/>
        <v/>
      </c>
      <c r="U456" s="3" t="str">
        <f t="shared" si="8"/>
        <v xml:space="preserve">    (, @COURSE_CEN_4020),</v>
      </c>
      <c r="V456" s="3" t="str">
        <f t="shared" si="8"/>
        <v/>
      </c>
      <c r="W456" s="3" t="str">
        <f t="shared" si="8"/>
        <v/>
      </c>
      <c r="X456" s="3" t="str">
        <f t="shared" si="8"/>
        <v/>
      </c>
      <c r="Y456" s="3" t="str">
        <f t="shared" si="8"/>
        <v/>
      </c>
      <c r="Z456" s="3" t="str">
        <f t="shared" si="8"/>
        <v/>
      </c>
      <c r="AA456" s="3" t="str">
        <f t="shared" si="8"/>
        <v/>
      </c>
      <c r="AB456" s="3" t="str">
        <f t="shared" si="8"/>
        <v xml:space="preserve">    (, @COURSE_CIS_4364),</v>
      </c>
      <c r="AC456" s="3" t="str">
        <f t="shared" si="8"/>
        <v/>
      </c>
      <c r="AD456" s="3" t="str">
        <f t="shared" si="8"/>
        <v/>
      </c>
      <c r="AE456" s="3" t="str">
        <f t="shared" si="8"/>
        <v/>
      </c>
      <c r="AF456" s="3" t="str">
        <f t="shared" si="8"/>
        <v/>
      </c>
      <c r="AG456" s="3" t="str">
        <f t="shared" si="8"/>
        <v/>
      </c>
      <c r="AH456" s="3" t="str">
        <f t="shared" si="8"/>
        <v/>
      </c>
      <c r="AI456" s="3" t="str">
        <f t="shared" si="8"/>
        <v xml:space="preserve">    (, @COURSE_COP_4020),</v>
      </c>
      <c r="AJ456" s="3" t="str">
        <f t="shared" si="8"/>
        <v/>
      </c>
      <c r="AK456" s="3" t="str">
        <f t="shared" si="8"/>
        <v xml:space="preserve">    (, @COURSE_CDA_4321),</v>
      </c>
      <c r="AL456" s="3" t="str">
        <f t="shared" si="8"/>
        <v/>
      </c>
      <c r="AM456" s="3" t="str">
        <f t="shared" si="8"/>
        <v/>
      </c>
      <c r="AN456" s="3" t="str">
        <f t="shared" si="8"/>
        <v/>
      </c>
      <c r="AO456" s="3" t="str">
        <f t="shared" si="8"/>
        <v/>
      </c>
      <c r="AP456" s="3" t="str">
        <f t="shared" si="8"/>
        <v/>
      </c>
      <c r="AQ456" s="3" t="str">
        <f t="shared" si="8"/>
        <v/>
      </c>
      <c r="AR456" s="3" t="str">
        <f t="shared" si="8"/>
        <v/>
      </c>
      <c r="AS456" s="3" t="str">
        <f t="shared" si="8"/>
        <v/>
      </c>
      <c r="AT456" s="3" t="str">
        <f t="shared" si="8"/>
        <v/>
      </c>
      <c r="AU456" s="3" t="str">
        <f t="shared" si="8"/>
        <v/>
      </c>
      <c r="AV456" s="3" t="str">
        <f t="shared" si="8"/>
        <v/>
      </c>
      <c r="AW456" s="3" t="str">
        <f t="shared" si="8"/>
        <v/>
      </c>
      <c r="AX456" s="3" t="str">
        <f t="shared" si="8"/>
        <v/>
      </c>
      <c r="AY456" s="3" t="str">
        <f t="shared" si="8"/>
        <v/>
      </c>
      <c r="AZ456" s="3" t="str">
        <f t="shared" si="8"/>
        <v/>
      </c>
      <c r="BA456" s="3" t="str">
        <f t="shared" si="8"/>
        <v/>
      </c>
      <c r="BB456" s="3" t="str">
        <f t="shared" si="8"/>
        <v/>
      </c>
      <c r="BC456" s="3" t="str">
        <f t="shared" si="8"/>
        <v/>
      </c>
      <c r="BD456" s="3" t="str">
        <f t="shared" si="8"/>
        <v/>
      </c>
      <c r="BE456" s="3" t="str">
        <f t="shared" si="8"/>
        <v/>
      </c>
      <c r="BF456" s="3" t="str">
        <f t="shared" si="8"/>
        <v/>
      </c>
    </row>
    <row r="457" spans="1:58" x14ac:dyDescent="0.3">
      <c r="A457" s="3" t="str">
        <f t="shared" ref="A457:P472" si="9">IF(A418 &lt;&gt; "", "    (" &amp; MID(A$1, 5, 100) &amp; ", @COURSE_" &amp; MID(A418, 1, 3) &amp; "_" &amp; MID(A418, 5, 10) &amp; "),", "")</f>
        <v/>
      </c>
      <c r="B457" s="3" t="str">
        <f t="shared" si="8"/>
        <v/>
      </c>
      <c r="C457" s="3" t="str">
        <f t="shared" si="8"/>
        <v/>
      </c>
      <c r="D457" s="3" t="str">
        <f t="shared" si="8"/>
        <v/>
      </c>
      <c r="E457" s="3" t="str">
        <f t="shared" si="8"/>
        <v/>
      </c>
      <c r="F457" s="3" t="str">
        <f t="shared" si="8"/>
        <v/>
      </c>
      <c r="G457" s="3" t="str">
        <f t="shared" si="8"/>
        <v/>
      </c>
      <c r="H457" s="3" t="str">
        <f t="shared" si="8"/>
        <v/>
      </c>
      <c r="I457" s="3" t="str">
        <f t="shared" si="8"/>
        <v/>
      </c>
      <c r="J457" s="3" t="str">
        <f t="shared" si="8"/>
        <v xml:space="preserve">    (, @COURSE_CIS_4940),</v>
      </c>
      <c r="K457" s="3" t="str">
        <f t="shared" si="8"/>
        <v/>
      </c>
      <c r="L457" s="3" t="str">
        <f t="shared" si="8"/>
        <v/>
      </c>
      <c r="M457" s="3" t="str">
        <f t="shared" si="8"/>
        <v/>
      </c>
      <c r="N457" s="3" t="str">
        <f t="shared" si="8"/>
        <v/>
      </c>
      <c r="O457" s="3" t="str">
        <f t="shared" si="8"/>
        <v/>
      </c>
      <c r="P457" s="3" t="str">
        <f t="shared" si="8"/>
        <v/>
      </c>
      <c r="Q457" s="3" t="str">
        <f t="shared" si="8"/>
        <v/>
      </c>
      <c r="R457" s="3" t="str">
        <f t="shared" si="8"/>
        <v/>
      </c>
      <c r="S457" s="3" t="str">
        <f t="shared" si="8"/>
        <v/>
      </c>
      <c r="T457" s="3" t="str">
        <f t="shared" si="8"/>
        <v/>
      </c>
      <c r="U457" s="3" t="str">
        <f t="shared" si="8"/>
        <v xml:space="preserve">    (, @COURSE_CEN_4072),</v>
      </c>
      <c r="V457" s="3" t="str">
        <f t="shared" si="8"/>
        <v/>
      </c>
      <c r="W457" s="3" t="str">
        <f t="shared" si="8"/>
        <v/>
      </c>
      <c r="X457" s="3" t="str">
        <f t="shared" si="8"/>
        <v/>
      </c>
      <c r="Y457" s="3" t="str">
        <f t="shared" si="8"/>
        <v/>
      </c>
      <c r="Z457" s="3" t="str">
        <f t="shared" si="8"/>
        <v/>
      </c>
      <c r="AA457" s="3" t="str">
        <f t="shared" si="8"/>
        <v/>
      </c>
      <c r="AB457" s="3" t="str">
        <f t="shared" si="8"/>
        <v xml:space="preserve">    (, @COURSE_CIS_4623),</v>
      </c>
      <c r="AC457" s="3" t="str">
        <f t="shared" si="8"/>
        <v/>
      </c>
      <c r="AD457" s="3" t="str">
        <f t="shared" si="8"/>
        <v/>
      </c>
      <c r="AE457" s="3" t="str">
        <f t="shared" si="8"/>
        <v/>
      </c>
      <c r="AF457" s="3" t="str">
        <f t="shared" si="8"/>
        <v/>
      </c>
      <c r="AG457" s="3" t="str">
        <f t="shared" si="8"/>
        <v/>
      </c>
      <c r="AH457" s="3" t="str">
        <f t="shared" si="8"/>
        <v/>
      </c>
      <c r="AI457" s="3" t="str">
        <f t="shared" si="8"/>
        <v xml:space="preserve">    (, @COURSE_COP_4365),</v>
      </c>
      <c r="AJ457" s="3" t="str">
        <f t="shared" si="8"/>
        <v/>
      </c>
      <c r="AK457" s="3" t="str">
        <f t="shared" si="8"/>
        <v xml:space="preserve">    (, @COURSE_CDA_4322),</v>
      </c>
      <c r="AL457" s="3" t="str">
        <f t="shared" si="8"/>
        <v/>
      </c>
      <c r="AM457" s="3" t="str">
        <f t="shared" si="8"/>
        <v/>
      </c>
      <c r="AN457" s="3" t="str">
        <f t="shared" si="8"/>
        <v/>
      </c>
      <c r="AO457" s="3" t="str">
        <f t="shared" si="8"/>
        <v/>
      </c>
      <c r="AP457" s="3" t="str">
        <f t="shared" si="8"/>
        <v/>
      </c>
      <c r="AQ457" s="3" t="str">
        <f t="shared" si="8"/>
        <v/>
      </c>
      <c r="AR457" s="3" t="str">
        <f t="shared" si="8"/>
        <v/>
      </c>
      <c r="AS457" s="3" t="str">
        <f t="shared" si="8"/>
        <v/>
      </c>
      <c r="AT457" s="3" t="str">
        <f t="shared" si="8"/>
        <v/>
      </c>
      <c r="AU457" s="3" t="str">
        <f t="shared" si="8"/>
        <v/>
      </c>
      <c r="AV457" s="3" t="str">
        <f t="shared" si="8"/>
        <v/>
      </c>
      <c r="AW457" s="3" t="str">
        <f t="shared" si="8"/>
        <v/>
      </c>
      <c r="AX457" s="3" t="str">
        <f t="shared" si="8"/>
        <v/>
      </c>
      <c r="AY457" s="3" t="str">
        <f t="shared" si="8"/>
        <v/>
      </c>
      <c r="AZ457" s="3" t="str">
        <f t="shared" si="8"/>
        <v/>
      </c>
      <c r="BA457" s="3" t="str">
        <f t="shared" si="8"/>
        <v/>
      </c>
      <c r="BB457" s="3" t="str">
        <f t="shared" si="8"/>
        <v/>
      </c>
      <c r="BC457" s="3" t="str">
        <f t="shared" si="8"/>
        <v/>
      </c>
      <c r="BD457" s="3" t="str">
        <f t="shared" si="8"/>
        <v/>
      </c>
      <c r="BE457" s="3" t="str">
        <f t="shared" si="8"/>
        <v/>
      </c>
      <c r="BF457" s="3" t="str">
        <f t="shared" si="8"/>
        <v/>
      </c>
    </row>
    <row r="458" spans="1:58" x14ac:dyDescent="0.3">
      <c r="A458" s="3" t="str">
        <f t="shared" si="9"/>
        <v/>
      </c>
      <c r="B458" s="3" t="str">
        <f t="shared" si="8"/>
        <v/>
      </c>
      <c r="C458" s="3" t="str">
        <f t="shared" si="8"/>
        <v/>
      </c>
      <c r="D458" s="3" t="str">
        <f t="shared" si="8"/>
        <v/>
      </c>
      <c r="E458" s="3" t="str">
        <f t="shared" si="8"/>
        <v/>
      </c>
      <c r="F458" s="3" t="str">
        <f t="shared" si="8"/>
        <v/>
      </c>
      <c r="G458" s="3" t="str">
        <f t="shared" si="8"/>
        <v/>
      </c>
      <c r="H458" s="3" t="str">
        <f t="shared" si="8"/>
        <v/>
      </c>
      <c r="I458" s="3" t="str">
        <f t="shared" si="8"/>
        <v/>
      </c>
      <c r="J458" s="3" t="str">
        <f t="shared" si="8"/>
        <v xml:space="preserve">    (, @COURSE_CNT_4004),</v>
      </c>
      <c r="K458" s="3" t="str">
        <f t="shared" si="8"/>
        <v/>
      </c>
      <c r="L458" s="3" t="str">
        <f t="shared" si="8"/>
        <v/>
      </c>
      <c r="M458" s="3" t="str">
        <f t="shared" si="8"/>
        <v/>
      </c>
      <c r="N458" s="3" t="str">
        <f t="shared" si="8"/>
        <v/>
      </c>
      <c r="O458" s="3" t="str">
        <f t="shared" si="8"/>
        <v/>
      </c>
      <c r="P458" s="3" t="str">
        <f t="shared" si="8"/>
        <v/>
      </c>
      <c r="Q458" s="3" t="str">
        <f t="shared" si="8"/>
        <v/>
      </c>
      <c r="R458" s="3" t="str">
        <f t="shared" si="8"/>
        <v/>
      </c>
      <c r="S458" s="3" t="str">
        <f t="shared" si="8"/>
        <v/>
      </c>
      <c r="T458" s="3" t="str">
        <f t="shared" si="8"/>
        <v/>
      </c>
      <c r="U458" s="3" t="str">
        <f t="shared" si="8"/>
        <v xml:space="preserve">    (, @COURSE_CIS_4212),</v>
      </c>
      <c r="V458" s="3" t="str">
        <f t="shared" si="8"/>
        <v/>
      </c>
      <c r="W458" s="3" t="str">
        <f t="shared" si="8"/>
        <v/>
      </c>
      <c r="X458" s="3" t="str">
        <f t="shared" si="8"/>
        <v/>
      </c>
      <c r="Y458" s="3" t="str">
        <f t="shared" si="8"/>
        <v/>
      </c>
      <c r="Z458" s="3" t="str">
        <f t="shared" si="8"/>
        <v/>
      </c>
      <c r="AA458" s="3" t="str">
        <f t="shared" si="8"/>
        <v/>
      </c>
      <c r="AB458" s="3" t="str">
        <f t="shared" si="8"/>
        <v xml:space="preserve">    (, @COURSE_CIS_4900),</v>
      </c>
      <c r="AC458" s="3" t="str">
        <f t="shared" si="8"/>
        <v/>
      </c>
      <c r="AD458" s="3" t="str">
        <f t="shared" si="8"/>
        <v/>
      </c>
      <c r="AE458" s="3" t="str">
        <f t="shared" si="8"/>
        <v/>
      </c>
      <c r="AF458" s="3" t="str">
        <f t="shared" si="8"/>
        <v/>
      </c>
      <c r="AG458" s="3" t="str">
        <f t="shared" si="8"/>
        <v/>
      </c>
      <c r="AH458" s="3" t="str">
        <f t="shared" si="8"/>
        <v/>
      </c>
      <c r="AI458" s="3" t="str">
        <f t="shared" si="8"/>
        <v xml:space="preserve">    (, @COURSE_COP_4520),</v>
      </c>
      <c r="AJ458" s="3" t="str">
        <f t="shared" si="8"/>
        <v/>
      </c>
      <c r="AK458" s="3" t="str">
        <f t="shared" si="8"/>
        <v xml:space="preserve">    (, @COURSE_CDA_4323),</v>
      </c>
      <c r="AL458" s="3" t="str">
        <f t="shared" si="8"/>
        <v/>
      </c>
      <c r="AM458" s="3" t="str">
        <f t="shared" si="8"/>
        <v/>
      </c>
      <c r="AN458" s="3" t="str">
        <f t="shared" si="8"/>
        <v/>
      </c>
      <c r="AO458" s="3" t="str">
        <f t="shared" si="8"/>
        <v/>
      </c>
      <c r="AP458" s="3" t="str">
        <f t="shared" si="8"/>
        <v/>
      </c>
      <c r="AQ458" s="3" t="str">
        <f t="shared" si="8"/>
        <v/>
      </c>
      <c r="AR458" s="3" t="str">
        <f t="shared" si="8"/>
        <v/>
      </c>
      <c r="AS458" s="3" t="str">
        <f t="shared" si="8"/>
        <v/>
      </c>
      <c r="AT458" s="3" t="str">
        <f t="shared" si="8"/>
        <v/>
      </c>
      <c r="AU458" s="3" t="str">
        <f t="shared" si="8"/>
        <v/>
      </c>
      <c r="AV458" s="3" t="str">
        <f t="shared" si="8"/>
        <v/>
      </c>
      <c r="AW458" s="3" t="str">
        <f t="shared" si="8"/>
        <v/>
      </c>
      <c r="AX458" s="3" t="str">
        <f t="shared" si="8"/>
        <v/>
      </c>
      <c r="AY458" s="3" t="str">
        <f t="shared" si="8"/>
        <v/>
      </c>
      <c r="AZ458" s="3" t="str">
        <f t="shared" si="8"/>
        <v/>
      </c>
      <c r="BA458" s="3" t="str">
        <f t="shared" si="8"/>
        <v/>
      </c>
      <c r="BB458" s="3" t="str">
        <f t="shared" si="8"/>
        <v/>
      </c>
      <c r="BC458" s="3" t="str">
        <f t="shared" si="8"/>
        <v/>
      </c>
      <c r="BD458" s="3" t="str">
        <f t="shared" si="8"/>
        <v/>
      </c>
      <c r="BE458" s="3" t="str">
        <f t="shared" si="8"/>
        <v/>
      </c>
      <c r="BF458" s="3" t="str">
        <f t="shared" si="8"/>
        <v/>
      </c>
    </row>
    <row r="459" spans="1:58" x14ac:dyDescent="0.3">
      <c r="A459" s="3" t="str">
        <f t="shared" si="9"/>
        <v/>
      </c>
      <c r="B459" s="3" t="str">
        <f t="shared" si="8"/>
        <v/>
      </c>
      <c r="C459" s="3" t="str">
        <f t="shared" si="8"/>
        <v/>
      </c>
      <c r="D459" s="3" t="str">
        <f t="shared" si="8"/>
        <v/>
      </c>
      <c r="E459" s="3" t="str">
        <f t="shared" si="8"/>
        <v/>
      </c>
      <c r="F459" s="3" t="str">
        <f t="shared" si="8"/>
        <v/>
      </c>
      <c r="G459" s="3" t="str">
        <f t="shared" si="8"/>
        <v/>
      </c>
      <c r="H459" s="3" t="str">
        <f t="shared" si="8"/>
        <v/>
      </c>
      <c r="I459" s="3" t="str">
        <f t="shared" si="8"/>
        <v/>
      </c>
      <c r="J459" s="3" t="str">
        <f t="shared" si="8"/>
        <v xml:space="preserve">    (, @COURSE_CNT_4411),</v>
      </c>
      <c r="K459" s="3" t="str">
        <f t="shared" si="8"/>
        <v/>
      </c>
      <c r="L459" s="3" t="str">
        <f t="shared" si="8"/>
        <v/>
      </c>
      <c r="M459" s="3" t="str">
        <f t="shared" si="8"/>
        <v/>
      </c>
      <c r="N459" s="3" t="str">
        <f t="shared" si="8"/>
        <v/>
      </c>
      <c r="O459" s="3" t="str">
        <f t="shared" si="8"/>
        <v/>
      </c>
      <c r="P459" s="3" t="str">
        <f t="shared" si="8"/>
        <v/>
      </c>
      <c r="Q459" s="3" t="str">
        <f t="shared" si="8"/>
        <v/>
      </c>
      <c r="R459" s="3" t="str">
        <f t="shared" si="8"/>
        <v/>
      </c>
      <c r="S459" s="3" t="str">
        <f t="shared" si="8"/>
        <v/>
      </c>
      <c r="T459" s="3" t="str">
        <f t="shared" si="8"/>
        <v/>
      </c>
      <c r="U459" s="3" t="str">
        <f t="shared" si="8"/>
        <v xml:space="preserve">    (, @COURSE_CIS_4345),</v>
      </c>
      <c r="V459" s="3" t="str">
        <f t="shared" si="8"/>
        <v/>
      </c>
      <c r="W459" s="3" t="str">
        <f t="shared" si="8"/>
        <v/>
      </c>
      <c r="X459" s="3" t="str">
        <f t="shared" si="8"/>
        <v/>
      </c>
      <c r="Y459" s="3" t="str">
        <f t="shared" si="8"/>
        <v/>
      </c>
      <c r="Z459" s="3" t="str">
        <f t="shared" si="8"/>
        <v/>
      </c>
      <c r="AA459" s="3" t="str">
        <f t="shared" si="8"/>
        <v/>
      </c>
      <c r="AB459" s="3" t="str">
        <f t="shared" si="8"/>
        <v xml:space="preserve">    (, @COURSE_CIS_4910),</v>
      </c>
      <c r="AC459" s="3" t="str">
        <f t="shared" si="8"/>
        <v/>
      </c>
      <c r="AD459" s="3" t="str">
        <f t="shared" si="8"/>
        <v/>
      </c>
      <c r="AE459" s="3" t="str">
        <f t="shared" si="8"/>
        <v/>
      </c>
      <c r="AF459" s="3" t="str">
        <f t="shared" si="8"/>
        <v/>
      </c>
      <c r="AG459" s="3" t="str">
        <f t="shared" si="8"/>
        <v/>
      </c>
      <c r="AH459" s="3" t="str">
        <f t="shared" si="8"/>
        <v/>
      </c>
      <c r="AI459" s="3" t="str">
        <f t="shared" si="8"/>
        <v xml:space="preserve">    (, @COURSE_COP_4620),</v>
      </c>
      <c r="AJ459" s="3" t="str">
        <f t="shared" si="8"/>
        <v/>
      </c>
      <c r="AK459" s="3" t="str">
        <f t="shared" si="8"/>
        <v xml:space="preserve">    (, @COURSE_CDA_4621),</v>
      </c>
      <c r="AL459" s="3" t="str">
        <f t="shared" si="8"/>
        <v/>
      </c>
      <c r="AM459" s="3" t="str">
        <f t="shared" si="8"/>
        <v/>
      </c>
      <c r="AN459" s="3" t="str">
        <f t="shared" si="8"/>
        <v/>
      </c>
      <c r="AO459" s="3" t="str">
        <f t="shared" si="8"/>
        <v/>
      </c>
      <c r="AP459" s="3" t="str">
        <f t="shared" si="8"/>
        <v/>
      </c>
      <c r="AQ459" s="3" t="str">
        <f t="shared" si="8"/>
        <v/>
      </c>
      <c r="AR459" s="3" t="str">
        <f t="shared" si="8"/>
        <v/>
      </c>
      <c r="AS459" s="3" t="str">
        <f t="shared" si="8"/>
        <v/>
      </c>
      <c r="AT459" s="3" t="str">
        <f t="shared" si="8"/>
        <v/>
      </c>
      <c r="AU459" s="3" t="str">
        <f t="shared" si="8"/>
        <v/>
      </c>
      <c r="AV459" s="3" t="str">
        <f t="shared" si="8"/>
        <v/>
      </c>
      <c r="AW459" s="3" t="str">
        <f t="shared" si="8"/>
        <v/>
      </c>
      <c r="AX459" s="3" t="str">
        <f t="shared" si="8"/>
        <v/>
      </c>
      <c r="AY459" s="3" t="str">
        <f t="shared" si="8"/>
        <v/>
      </c>
      <c r="AZ459" s="3" t="str">
        <f t="shared" si="8"/>
        <v/>
      </c>
      <c r="BA459" s="3" t="str">
        <f t="shared" si="8"/>
        <v/>
      </c>
      <c r="BB459" s="3" t="str">
        <f t="shared" si="8"/>
        <v/>
      </c>
      <c r="BC459" s="3" t="str">
        <f t="shared" si="8"/>
        <v/>
      </c>
      <c r="BD459" s="3" t="str">
        <f t="shared" si="8"/>
        <v/>
      </c>
      <c r="BE459" s="3" t="str">
        <f t="shared" si="8"/>
        <v/>
      </c>
      <c r="BF459" s="3" t="str">
        <f t="shared" si="8"/>
        <v/>
      </c>
    </row>
    <row r="460" spans="1:58" x14ac:dyDescent="0.3">
      <c r="A460" s="3" t="str">
        <f t="shared" si="9"/>
        <v/>
      </c>
      <c r="B460" s="3" t="str">
        <f t="shared" si="8"/>
        <v/>
      </c>
      <c r="C460" s="3" t="str">
        <f t="shared" si="8"/>
        <v/>
      </c>
      <c r="D460" s="3" t="str">
        <f t="shared" si="8"/>
        <v/>
      </c>
      <c r="E460" s="3" t="str">
        <f t="shared" si="8"/>
        <v/>
      </c>
      <c r="F460" s="3" t="str">
        <f t="shared" si="8"/>
        <v/>
      </c>
      <c r="G460" s="3" t="str">
        <f t="shared" si="8"/>
        <v/>
      </c>
      <c r="H460" s="3" t="str">
        <f t="shared" si="8"/>
        <v/>
      </c>
      <c r="I460" s="3" t="str">
        <f t="shared" si="8"/>
        <v/>
      </c>
      <c r="J460" s="3" t="str">
        <f t="shared" si="8"/>
        <v xml:space="preserve">    (, @COURSE_CNT_4419),</v>
      </c>
      <c r="K460" s="3" t="str">
        <f t="shared" si="8"/>
        <v/>
      </c>
      <c r="L460" s="3" t="str">
        <f t="shared" si="8"/>
        <v/>
      </c>
      <c r="M460" s="3" t="str">
        <f t="shared" si="8"/>
        <v/>
      </c>
      <c r="N460" s="3" t="str">
        <f t="shared" si="8"/>
        <v/>
      </c>
      <c r="O460" s="3" t="str">
        <f t="shared" si="8"/>
        <v/>
      </c>
      <c r="P460" s="3" t="str">
        <f t="shared" si="8"/>
        <v/>
      </c>
      <c r="Q460" s="3" t="str">
        <f t="shared" ref="B460:BF464" si="10">IF(Q421 &lt;&gt; "", "    (" &amp; MID(Q$1, 5, 100) &amp; ", @COURSE_" &amp; MID(Q421, 1, 3) &amp; "_" &amp; MID(Q421, 5, 10) &amp; "),", "")</f>
        <v/>
      </c>
      <c r="R460" s="3" t="str">
        <f t="shared" si="10"/>
        <v/>
      </c>
      <c r="S460" s="3" t="str">
        <f t="shared" si="10"/>
        <v/>
      </c>
      <c r="T460" s="3" t="str">
        <f t="shared" si="10"/>
        <v/>
      </c>
      <c r="U460" s="3" t="str">
        <f t="shared" si="10"/>
        <v xml:space="preserve">    (, @COURSE_CIS_4900),</v>
      </c>
      <c r="V460" s="3" t="str">
        <f t="shared" si="10"/>
        <v/>
      </c>
      <c r="W460" s="3" t="str">
        <f t="shared" si="10"/>
        <v/>
      </c>
      <c r="X460" s="3" t="str">
        <f t="shared" si="10"/>
        <v/>
      </c>
      <c r="Y460" s="3" t="str">
        <f t="shared" si="10"/>
        <v/>
      </c>
      <c r="Z460" s="3" t="str">
        <f t="shared" si="10"/>
        <v/>
      </c>
      <c r="AA460" s="3" t="str">
        <f t="shared" si="10"/>
        <v/>
      </c>
      <c r="AB460" s="3" t="str">
        <f t="shared" si="10"/>
        <v xml:space="preserve">    (, @COURSE_CIS_4915),</v>
      </c>
      <c r="AC460" s="3" t="str">
        <f t="shared" si="10"/>
        <v/>
      </c>
      <c r="AD460" s="3" t="str">
        <f t="shared" si="10"/>
        <v/>
      </c>
      <c r="AE460" s="3" t="str">
        <f t="shared" si="10"/>
        <v/>
      </c>
      <c r="AF460" s="3" t="str">
        <f t="shared" si="10"/>
        <v/>
      </c>
      <c r="AG460" s="3" t="str">
        <f t="shared" si="10"/>
        <v/>
      </c>
      <c r="AH460" s="3" t="str">
        <f t="shared" si="10"/>
        <v/>
      </c>
      <c r="AI460" s="3" t="str">
        <f t="shared" si="10"/>
        <v xml:space="preserve">    (, @COURSE_COP_4710),</v>
      </c>
      <c r="AJ460" s="3" t="str">
        <f t="shared" si="10"/>
        <v/>
      </c>
      <c r="AK460" s="3" t="str">
        <f t="shared" si="10"/>
        <v xml:space="preserve">    (, @COURSE_CEN_4072),</v>
      </c>
      <c r="AL460" s="3" t="str">
        <f t="shared" si="10"/>
        <v/>
      </c>
      <c r="AM460" s="3" t="str">
        <f t="shared" si="10"/>
        <v/>
      </c>
      <c r="AN460" s="3" t="str">
        <f t="shared" si="10"/>
        <v/>
      </c>
      <c r="AO460" s="3" t="str">
        <f t="shared" si="10"/>
        <v/>
      </c>
      <c r="AP460" s="3" t="str">
        <f t="shared" si="10"/>
        <v/>
      </c>
      <c r="AQ460" s="3" t="str">
        <f t="shared" si="10"/>
        <v/>
      </c>
      <c r="AR460" s="3" t="str">
        <f t="shared" si="10"/>
        <v/>
      </c>
      <c r="AS460" s="3" t="str">
        <f t="shared" si="10"/>
        <v/>
      </c>
      <c r="AT460" s="3" t="str">
        <f t="shared" si="10"/>
        <v/>
      </c>
      <c r="AU460" s="3" t="str">
        <f t="shared" si="10"/>
        <v/>
      </c>
      <c r="AV460" s="3" t="str">
        <f t="shared" si="10"/>
        <v/>
      </c>
      <c r="AW460" s="3" t="str">
        <f t="shared" si="10"/>
        <v/>
      </c>
      <c r="AX460" s="3" t="str">
        <f t="shared" si="10"/>
        <v/>
      </c>
      <c r="AY460" s="3" t="str">
        <f t="shared" si="10"/>
        <v/>
      </c>
      <c r="AZ460" s="3" t="str">
        <f t="shared" si="10"/>
        <v/>
      </c>
      <c r="BA460" s="3" t="str">
        <f t="shared" si="10"/>
        <v/>
      </c>
      <c r="BB460" s="3" t="str">
        <f t="shared" si="10"/>
        <v/>
      </c>
      <c r="BC460" s="3" t="str">
        <f t="shared" si="10"/>
        <v/>
      </c>
      <c r="BD460" s="3" t="str">
        <f t="shared" si="10"/>
        <v/>
      </c>
      <c r="BE460" s="3" t="str">
        <f t="shared" si="10"/>
        <v/>
      </c>
      <c r="BF460" s="3" t="str">
        <f t="shared" si="10"/>
        <v/>
      </c>
    </row>
    <row r="461" spans="1:58" x14ac:dyDescent="0.3">
      <c r="A461" s="3" t="str">
        <f t="shared" si="9"/>
        <v/>
      </c>
      <c r="B461" s="3" t="str">
        <f t="shared" si="10"/>
        <v/>
      </c>
      <c r="C461" s="3" t="str">
        <f t="shared" si="10"/>
        <v/>
      </c>
      <c r="D461" s="3" t="str">
        <f t="shared" si="10"/>
        <v/>
      </c>
      <c r="E461" s="3" t="str">
        <f t="shared" si="10"/>
        <v/>
      </c>
      <c r="F461" s="3" t="str">
        <f t="shared" si="10"/>
        <v/>
      </c>
      <c r="G461" s="3" t="str">
        <f t="shared" si="10"/>
        <v/>
      </c>
      <c r="H461" s="3" t="str">
        <f t="shared" si="10"/>
        <v/>
      </c>
      <c r="I461" s="3" t="str">
        <f t="shared" si="10"/>
        <v/>
      </c>
      <c r="J461" s="3" t="str">
        <f t="shared" si="10"/>
        <v xml:space="preserve">    (, @COURSE_CNT_4800),</v>
      </c>
      <c r="K461" s="3" t="str">
        <f t="shared" si="10"/>
        <v/>
      </c>
      <c r="L461" s="3" t="str">
        <f t="shared" si="10"/>
        <v/>
      </c>
      <c r="M461" s="3" t="str">
        <f t="shared" si="10"/>
        <v/>
      </c>
      <c r="N461" s="3" t="str">
        <f t="shared" si="10"/>
        <v/>
      </c>
      <c r="O461" s="3" t="str">
        <f t="shared" si="10"/>
        <v/>
      </c>
      <c r="P461" s="3" t="str">
        <f t="shared" si="10"/>
        <v/>
      </c>
      <c r="Q461" s="3" t="str">
        <f t="shared" si="10"/>
        <v/>
      </c>
      <c r="R461" s="3" t="str">
        <f t="shared" si="10"/>
        <v/>
      </c>
      <c r="S461" s="3" t="str">
        <f t="shared" si="10"/>
        <v/>
      </c>
      <c r="T461" s="3" t="str">
        <f t="shared" si="10"/>
        <v/>
      </c>
      <c r="U461" s="3" t="str">
        <f t="shared" si="10"/>
        <v xml:space="preserve">    (, @COURSE_CIS_4915),</v>
      </c>
      <c r="V461" s="3" t="str">
        <f t="shared" si="10"/>
        <v/>
      </c>
      <c r="W461" s="3" t="str">
        <f t="shared" si="10"/>
        <v/>
      </c>
      <c r="X461" s="3" t="str">
        <f t="shared" si="10"/>
        <v/>
      </c>
      <c r="Y461" s="3" t="str">
        <f t="shared" si="10"/>
        <v/>
      </c>
      <c r="Z461" s="3" t="str">
        <f t="shared" si="10"/>
        <v/>
      </c>
      <c r="AA461" s="3" t="str">
        <f t="shared" si="10"/>
        <v/>
      </c>
      <c r="AB461" s="3" t="str">
        <f t="shared" si="10"/>
        <v xml:space="preserve">    (, @COURSE_CIS_4940),</v>
      </c>
      <c r="AC461" s="3" t="str">
        <f t="shared" si="10"/>
        <v/>
      </c>
      <c r="AD461" s="3" t="str">
        <f t="shared" si="10"/>
        <v/>
      </c>
      <c r="AE461" s="3" t="str">
        <f t="shared" si="10"/>
        <v/>
      </c>
      <c r="AF461" s="3" t="str">
        <f t="shared" si="10"/>
        <v/>
      </c>
      <c r="AG461" s="3" t="str">
        <f t="shared" si="10"/>
        <v/>
      </c>
      <c r="AH461" s="3" t="str">
        <f t="shared" si="10"/>
        <v/>
      </c>
      <c r="AI461" s="3" t="str">
        <f t="shared" si="10"/>
        <v/>
      </c>
      <c r="AJ461" s="3" t="str">
        <f t="shared" si="10"/>
        <v/>
      </c>
      <c r="AK461" s="3" t="str">
        <f t="shared" si="10"/>
        <v xml:space="preserve">    (, @COURSE_CIS_4212),</v>
      </c>
      <c r="AL461" s="3" t="str">
        <f t="shared" si="10"/>
        <v/>
      </c>
      <c r="AM461" s="3" t="str">
        <f t="shared" si="10"/>
        <v/>
      </c>
      <c r="AN461" s="3" t="str">
        <f t="shared" si="10"/>
        <v/>
      </c>
      <c r="AO461" s="3" t="str">
        <f t="shared" si="10"/>
        <v/>
      </c>
      <c r="AP461" s="3" t="str">
        <f t="shared" si="10"/>
        <v/>
      </c>
      <c r="AQ461" s="3" t="str">
        <f t="shared" si="10"/>
        <v/>
      </c>
      <c r="AR461" s="3" t="str">
        <f t="shared" si="10"/>
        <v/>
      </c>
      <c r="AS461" s="3" t="str">
        <f t="shared" si="10"/>
        <v/>
      </c>
      <c r="AT461" s="3" t="str">
        <f t="shared" si="10"/>
        <v/>
      </c>
      <c r="AU461" s="3" t="str">
        <f t="shared" si="10"/>
        <v/>
      </c>
      <c r="AV461" s="3" t="str">
        <f t="shared" si="10"/>
        <v/>
      </c>
      <c r="AW461" s="3" t="str">
        <f t="shared" si="10"/>
        <v/>
      </c>
      <c r="AX461" s="3" t="str">
        <f t="shared" si="10"/>
        <v/>
      </c>
      <c r="AY461" s="3" t="str">
        <f t="shared" si="10"/>
        <v/>
      </c>
      <c r="AZ461" s="3" t="str">
        <f t="shared" si="10"/>
        <v/>
      </c>
      <c r="BA461" s="3" t="str">
        <f t="shared" si="10"/>
        <v/>
      </c>
      <c r="BB461" s="3" t="str">
        <f t="shared" si="10"/>
        <v/>
      </c>
      <c r="BC461" s="3" t="str">
        <f t="shared" si="10"/>
        <v/>
      </c>
      <c r="BD461" s="3" t="str">
        <f t="shared" si="10"/>
        <v/>
      </c>
      <c r="BE461" s="3" t="str">
        <f t="shared" si="10"/>
        <v/>
      </c>
      <c r="BF461" s="3" t="str">
        <f t="shared" si="10"/>
        <v/>
      </c>
    </row>
    <row r="462" spans="1:58" x14ac:dyDescent="0.3">
      <c r="A462" s="3" t="str">
        <f t="shared" si="9"/>
        <v/>
      </c>
      <c r="B462" s="3" t="str">
        <f t="shared" si="10"/>
        <v/>
      </c>
      <c r="C462" s="3" t="str">
        <f t="shared" si="10"/>
        <v/>
      </c>
      <c r="D462" s="3" t="str">
        <f t="shared" si="10"/>
        <v/>
      </c>
      <c r="E462" s="3" t="str">
        <f t="shared" si="10"/>
        <v/>
      </c>
      <c r="F462" s="3" t="str">
        <f t="shared" si="10"/>
        <v/>
      </c>
      <c r="G462" s="3" t="str">
        <f t="shared" si="10"/>
        <v/>
      </c>
      <c r="H462" s="3" t="str">
        <f t="shared" si="10"/>
        <v/>
      </c>
      <c r="I462" s="3" t="str">
        <f t="shared" si="10"/>
        <v/>
      </c>
      <c r="J462" s="3" t="str">
        <f t="shared" si="10"/>
        <v xml:space="preserve">    (, @COURSE_COP_4020),</v>
      </c>
      <c r="K462" s="3" t="str">
        <f t="shared" si="10"/>
        <v/>
      </c>
      <c r="L462" s="3" t="str">
        <f t="shared" si="10"/>
        <v/>
      </c>
      <c r="M462" s="3" t="str">
        <f t="shared" si="10"/>
        <v/>
      </c>
      <c r="N462" s="3" t="str">
        <f t="shared" si="10"/>
        <v/>
      </c>
      <c r="O462" s="3" t="str">
        <f t="shared" si="10"/>
        <v/>
      </c>
      <c r="P462" s="3" t="str">
        <f t="shared" si="10"/>
        <v/>
      </c>
      <c r="Q462" s="3" t="str">
        <f t="shared" si="10"/>
        <v/>
      </c>
      <c r="R462" s="3" t="str">
        <f t="shared" si="10"/>
        <v/>
      </c>
      <c r="S462" s="3" t="str">
        <f t="shared" si="10"/>
        <v/>
      </c>
      <c r="T462" s="3" t="str">
        <f t="shared" si="10"/>
        <v/>
      </c>
      <c r="U462" s="3" t="str">
        <f t="shared" si="10"/>
        <v xml:space="preserve">    (, @COURSE_CIS_4930),</v>
      </c>
      <c r="V462" s="3" t="str">
        <f t="shared" si="10"/>
        <v/>
      </c>
      <c r="W462" s="3" t="str">
        <f t="shared" si="10"/>
        <v/>
      </c>
      <c r="X462" s="3" t="str">
        <f t="shared" si="10"/>
        <v/>
      </c>
      <c r="Y462" s="3" t="str">
        <f t="shared" si="10"/>
        <v/>
      </c>
      <c r="Z462" s="3" t="str">
        <f t="shared" si="10"/>
        <v/>
      </c>
      <c r="AA462" s="3" t="str">
        <f t="shared" si="10"/>
        <v/>
      </c>
      <c r="AB462" s="3" t="str">
        <f t="shared" si="10"/>
        <v xml:space="preserve">    (, @COURSE_CNT_4004),</v>
      </c>
      <c r="AC462" s="3" t="str">
        <f t="shared" si="10"/>
        <v/>
      </c>
      <c r="AD462" s="3" t="str">
        <f t="shared" si="10"/>
        <v/>
      </c>
      <c r="AE462" s="3" t="str">
        <f t="shared" si="10"/>
        <v/>
      </c>
      <c r="AF462" s="3" t="str">
        <f t="shared" si="10"/>
        <v/>
      </c>
      <c r="AG462" s="3" t="str">
        <f t="shared" si="10"/>
        <v/>
      </c>
      <c r="AH462" s="3" t="str">
        <f t="shared" si="10"/>
        <v/>
      </c>
      <c r="AI462" s="3" t="str">
        <f t="shared" si="10"/>
        <v/>
      </c>
      <c r="AJ462" s="3" t="str">
        <f t="shared" si="10"/>
        <v/>
      </c>
      <c r="AK462" s="3" t="str">
        <f t="shared" si="10"/>
        <v xml:space="preserve">    (, @COURSE_CIS_4345),</v>
      </c>
      <c r="AL462" s="3" t="str">
        <f t="shared" si="10"/>
        <v/>
      </c>
      <c r="AM462" s="3" t="str">
        <f t="shared" si="10"/>
        <v/>
      </c>
      <c r="AN462" s="3" t="str">
        <f t="shared" si="10"/>
        <v/>
      </c>
      <c r="AO462" s="3" t="str">
        <f t="shared" si="10"/>
        <v/>
      </c>
      <c r="AP462" s="3" t="str">
        <f t="shared" si="10"/>
        <v/>
      </c>
      <c r="AQ462" s="3" t="str">
        <f t="shared" si="10"/>
        <v/>
      </c>
      <c r="AR462" s="3" t="str">
        <f t="shared" si="10"/>
        <v/>
      </c>
      <c r="AS462" s="3" t="str">
        <f t="shared" si="10"/>
        <v/>
      </c>
      <c r="AT462" s="3" t="str">
        <f t="shared" si="10"/>
        <v/>
      </c>
      <c r="AU462" s="3" t="str">
        <f t="shared" si="10"/>
        <v/>
      </c>
      <c r="AV462" s="3" t="str">
        <f t="shared" si="10"/>
        <v/>
      </c>
      <c r="AW462" s="3" t="str">
        <f t="shared" si="10"/>
        <v/>
      </c>
      <c r="AX462" s="3" t="str">
        <f t="shared" si="10"/>
        <v/>
      </c>
      <c r="AY462" s="3" t="str">
        <f t="shared" si="10"/>
        <v/>
      </c>
      <c r="AZ462" s="3" t="str">
        <f t="shared" si="10"/>
        <v/>
      </c>
      <c r="BA462" s="3" t="str">
        <f t="shared" si="10"/>
        <v/>
      </c>
      <c r="BB462" s="3" t="str">
        <f t="shared" si="10"/>
        <v/>
      </c>
      <c r="BC462" s="3" t="str">
        <f t="shared" si="10"/>
        <v/>
      </c>
      <c r="BD462" s="3" t="str">
        <f t="shared" si="10"/>
        <v/>
      </c>
      <c r="BE462" s="3" t="str">
        <f t="shared" si="10"/>
        <v/>
      </c>
      <c r="BF462" s="3" t="str">
        <f t="shared" si="10"/>
        <v/>
      </c>
    </row>
    <row r="463" spans="1:58" x14ac:dyDescent="0.3">
      <c r="A463" s="3" t="str">
        <f t="shared" si="9"/>
        <v/>
      </c>
      <c r="B463" s="3" t="str">
        <f t="shared" si="10"/>
        <v/>
      </c>
      <c r="C463" s="3" t="str">
        <f t="shared" si="10"/>
        <v/>
      </c>
      <c r="D463" s="3" t="str">
        <f t="shared" si="10"/>
        <v/>
      </c>
      <c r="E463" s="3" t="str">
        <f t="shared" si="10"/>
        <v/>
      </c>
      <c r="F463" s="3" t="str">
        <f t="shared" si="10"/>
        <v/>
      </c>
      <c r="G463" s="3" t="str">
        <f t="shared" si="10"/>
        <v/>
      </c>
      <c r="H463" s="3" t="str">
        <f t="shared" si="10"/>
        <v/>
      </c>
      <c r="I463" s="3" t="str">
        <f t="shared" si="10"/>
        <v/>
      </c>
      <c r="J463" s="3" t="str">
        <f t="shared" si="10"/>
        <v xml:space="preserve">    (, @COURSE_COP_4365),</v>
      </c>
      <c r="K463" s="3" t="str">
        <f t="shared" si="10"/>
        <v/>
      </c>
      <c r="L463" s="3" t="str">
        <f t="shared" si="10"/>
        <v/>
      </c>
      <c r="M463" s="3" t="str">
        <f t="shared" si="10"/>
        <v/>
      </c>
      <c r="N463" s="3" t="str">
        <f t="shared" si="10"/>
        <v/>
      </c>
      <c r="O463" s="3" t="str">
        <f t="shared" si="10"/>
        <v/>
      </c>
      <c r="P463" s="3" t="str">
        <f t="shared" si="10"/>
        <v/>
      </c>
      <c r="Q463" s="3" t="str">
        <f t="shared" si="10"/>
        <v/>
      </c>
      <c r="R463" s="3" t="str">
        <f t="shared" si="10"/>
        <v/>
      </c>
      <c r="S463" s="3" t="str">
        <f t="shared" si="10"/>
        <v/>
      </c>
      <c r="T463" s="3" t="str">
        <f t="shared" si="10"/>
        <v/>
      </c>
      <c r="U463" s="3" t="str">
        <f t="shared" si="10"/>
        <v xml:space="preserve">    (, @COURSE_CIS_4940),</v>
      </c>
      <c r="V463" s="3" t="str">
        <f t="shared" si="10"/>
        <v/>
      </c>
      <c r="W463" s="3" t="str">
        <f t="shared" si="10"/>
        <v/>
      </c>
      <c r="X463" s="3" t="str">
        <f t="shared" si="10"/>
        <v/>
      </c>
      <c r="Y463" s="3" t="str">
        <f t="shared" si="10"/>
        <v/>
      </c>
      <c r="Z463" s="3" t="str">
        <f t="shared" si="10"/>
        <v/>
      </c>
      <c r="AA463" s="3" t="str">
        <f t="shared" si="10"/>
        <v/>
      </c>
      <c r="AB463" s="3" t="str">
        <f t="shared" si="10"/>
        <v xml:space="preserve">    (, @COURSE_CNT_4411),</v>
      </c>
      <c r="AC463" s="3" t="str">
        <f t="shared" si="10"/>
        <v/>
      </c>
      <c r="AD463" s="3" t="str">
        <f t="shared" si="10"/>
        <v/>
      </c>
      <c r="AE463" s="3" t="str">
        <f t="shared" si="10"/>
        <v/>
      </c>
      <c r="AF463" s="3" t="str">
        <f t="shared" si="10"/>
        <v/>
      </c>
      <c r="AG463" s="3" t="str">
        <f t="shared" si="10"/>
        <v/>
      </c>
      <c r="AH463" s="3" t="str">
        <f t="shared" si="10"/>
        <v/>
      </c>
      <c r="AI463" s="3" t="str">
        <f t="shared" si="10"/>
        <v/>
      </c>
      <c r="AJ463" s="3" t="str">
        <f t="shared" si="10"/>
        <v/>
      </c>
      <c r="AK463" s="3" t="str">
        <f t="shared" si="10"/>
        <v xml:space="preserve">    (, @COURSE_CIS_4900),</v>
      </c>
      <c r="AL463" s="3" t="str">
        <f t="shared" si="10"/>
        <v/>
      </c>
      <c r="AM463" s="3" t="str">
        <f t="shared" si="10"/>
        <v/>
      </c>
      <c r="AN463" s="3" t="str">
        <f t="shared" si="10"/>
        <v/>
      </c>
      <c r="AO463" s="3" t="str">
        <f t="shared" si="10"/>
        <v/>
      </c>
      <c r="AP463" s="3" t="str">
        <f t="shared" si="10"/>
        <v/>
      </c>
      <c r="AQ463" s="3" t="str">
        <f t="shared" si="10"/>
        <v/>
      </c>
      <c r="AR463" s="3" t="str">
        <f t="shared" si="10"/>
        <v/>
      </c>
      <c r="AS463" s="3" t="str">
        <f t="shared" si="10"/>
        <v/>
      </c>
      <c r="AT463" s="3" t="str">
        <f t="shared" si="10"/>
        <v/>
      </c>
      <c r="AU463" s="3" t="str">
        <f t="shared" si="10"/>
        <v/>
      </c>
      <c r="AV463" s="3" t="str">
        <f t="shared" si="10"/>
        <v/>
      </c>
      <c r="AW463" s="3" t="str">
        <f t="shared" si="10"/>
        <v/>
      </c>
      <c r="AX463" s="3" t="str">
        <f t="shared" si="10"/>
        <v/>
      </c>
      <c r="AY463" s="3" t="str">
        <f t="shared" si="10"/>
        <v/>
      </c>
      <c r="AZ463" s="3" t="str">
        <f t="shared" si="10"/>
        <v/>
      </c>
      <c r="BA463" s="3" t="str">
        <f t="shared" si="10"/>
        <v/>
      </c>
      <c r="BB463" s="3" t="str">
        <f t="shared" si="10"/>
        <v/>
      </c>
      <c r="BC463" s="3" t="str">
        <f t="shared" si="10"/>
        <v/>
      </c>
      <c r="BD463" s="3" t="str">
        <f t="shared" si="10"/>
        <v/>
      </c>
      <c r="BE463" s="3" t="str">
        <f t="shared" si="10"/>
        <v/>
      </c>
      <c r="BF463" s="3" t="str">
        <f t="shared" si="10"/>
        <v/>
      </c>
    </row>
    <row r="464" spans="1:58" x14ac:dyDescent="0.3">
      <c r="A464" s="3" t="str">
        <f t="shared" si="9"/>
        <v/>
      </c>
      <c r="B464" s="3" t="str">
        <f t="shared" si="10"/>
        <v/>
      </c>
      <c r="C464" s="3" t="str">
        <f t="shared" si="10"/>
        <v/>
      </c>
      <c r="D464" s="3" t="str">
        <f t="shared" si="10"/>
        <v/>
      </c>
      <c r="E464" s="3" t="str">
        <f t="shared" si="10"/>
        <v/>
      </c>
      <c r="F464" s="3" t="str">
        <f t="shared" si="10"/>
        <v/>
      </c>
      <c r="G464" s="3" t="str">
        <f t="shared" si="10"/>
        <v/>
      </c>
      <c r="H464" s="3" t="str">
        <f t="shared" si="10"/>
        <v/>
      </c>
      <c r="I464" s="3" t="str">
        <f t="shared" si="10"/>
        <v/>
      </c>
      <c r="J464" s="3" t="str">
        <f t="shared" si="10"/>
        <v xml:space="preserve">    (, @COURSE_COP_4520),</v>
      </c>
      <c r="K464" s="3" t="str">
        <f t="shared" si="10"/>
        <v/>
      </c>
      <c r="L464" s="3" t="str">
        <f t="shared" si="10"/>
        <v/>
      </c>
      <c r="M464" s="3" t="str">
        <f t="shared" si="10"/>
        <v/>
      </c>
      <c r="N464" s="3" t="str">
        <f t="shared" si="10"/>
        <v/>
      </c>
      <c r="O464" s="3" t="str">
        <f t="shared" si="10"/>
        <v/>
      </c>
      <c r="P464" s="3" t="str">
        <f t="shared" si="10"/>
        <v/>
      </c>
      <c r="Q464" s="3" t="str">
        <f t="shared" si="10"/>
        <v/>
      </c>
      <c r="R464" s="3" t="str">
        <f t="shared" si="10"/>
        <v/>
      </c>
      <c r="S464" s="3" t="str">
        <f t="shared" si="10"/>
        <v/>
      </c>
      <c r="T464" s="3" t="str">
        <f t="shared" si="10"/>
        <v/>
      </c>
      <c r="U464" s="3" t="str">
        <f t="shared" si="10"/>
        <v xml:space="preserve">    (, @COURSE_CNT_4004),</v>
      </c>
      <c r="V464" s="3" t="str">
        <f t="shared" si="10"/>
        <v/>
      </c>
      <c r="W464" s="3" t="str">
        <f t="shared" si="10"/>
        <v/>
      </c>
      <c r="X464" s="3" t="str">
        <f t="shared" si="10"/>
        <v/>
      </c>
      <c r="Y464" s="3" t="str">
        <f t="shared" si="10"/>
        <v/>
      </c>
      <c r="Z464" s="3" t="str">
        <f t="shared" si="10"/>
        <v/>
      </c>
      <c r="AA464" s="3" t="str">
        <f t="shared" si="10"/>
        <v/>
      </c>
      <c r="AB464" s="3" t="str">
        <f t="shared" si="10"/>
        <v xml:space="preserve">    (, @COURSE_CNT_4800),</v>
      </c>
      <c r="AC464" s="3" t="str">
        <f t="shared" si="10"/>
        <v/>
      </c>
      <c r="AD464" s="3" t="str">
        <f t="shared" si="10"/>
        <v/>
      </c>
      <c r="AE464" s="3" t="str">
        <f t="shared" si="10"/>
        <v/>
      </c>
      <c r="AF464" s="3" t="str">
        <f t="shared" si="10"/>
        <v/>
      </c>
      <c r="AG464" s="3" t="str">
        <f t="shared" si="10"/>
        <v/>
      </c>
      <c r="AH464" s="3" t="str">
        <f t="shared" si="10"/>
        <v/>
      </c>
      <c r="AI464" s="3" t="str">
        <f t="shared" si="10"/>
        <v/>
      </c>
      <c r="AJ464" s="3" t="str">
        <f t="shared" si="10"/>
        <v/>
      </c>
      <c r="AK464" s="3" t="str">
        <f t="shared" si="10"/>
        <v xml:space="preserve">    (, @COURSE_CIS_4910),</v>
      </c>
      <c r="AL464" s="3" t="str">
        <f t="shared" si="10"/>
        <v/>
      </c>
      <c r="AM464" s="3" t="str">
        <f t="shared" si="10"/>
        <v/>
      </c>
      <c r="AN464" s="3" t="str">
        <f t="shared" si="10"/>
        <v/>
      </c>
      <c r="AO464" s="3" t="str">
        <f t="shared" si="10"/>
        <v/>
      </c>
      <c r="AP464" s="3" t="str">
        <f t="shared" si="10"/>
        <v/>
      </c>
      <c r="AQ464" s="3" t="str">
        <f t="shared" si="10"/>
        <v/>
      </c>
      <c r="AR464" s="3" t="str">
        <f t="shared" ref="B464:BF469" si="11">IF(AR425 &lt;&gt; "", "    (" &amp; MID(AR$1, 5, 100) &amp; ", @COURSE_" &amp; MID(AR425, 1, 3) &amp; "_" &amp; MID(AR425, 5, 10) &amp; "),", "")</f>
        <v/>
      </c>
      <c r="AS464" s="3" t="str">
        <f t="shared" si="11"/>
        <v/>
      </c>
      <c r="AT464" s="3" t="str">
        <f t="shared" si="11"/>
        <v/>
      </c>
      <c r="AU464" s="3" t="str">
        <f t="shared" si="11"/>
        <v/>
      </c>
      <c r="AV464" s="3" t="str">
        <f t="shared" si="11"/>
        <v/>
      </c>
      <c r="AW464" s="3" t="str">
        <f t="shared" si="11"/>
        <v/>
      </c>
      <c r="AX464" s="3" t="str">
        <f t="shared" si="11"/>
        <v/>
      </c>
      <c r="AY464" s="3" t="str">
        <f t="shared" si="11"/>
        <v/>
      </c>
      <c r="AZ464" s="3" t="str">
        <f t="shared" si="11"/>
        <v/>
      </c>
      <c r="BA464" s="3" t="str">
        <f t="shared" si="11"/>
        <v/>
      </c>
      <c r="BB464" s="3" t="str">
        <f t="shared" si="11"/>
        <v/>
      </c>
      <c r="BC464" s="3" t="str">
        <f t="shared" si="11"/>
        <v/>
      </c>
      <c r="BD464" s="3" t="str">
        <f t="shared" si="11"/>
        <v/>
      </c>
      <c r="BE464" s="3" t="str">
        <f t="shared" si="11"/>
        <v/>
      </c>
      <c r="BF464" s="3" t="str">
        <f t="shared" si="11"/>
        <v/>
      </c>
    </row>
    <row r="465" spans="1:58" x14ac:dyDescent="0.3">
      <c r="A465" s="3" t="str">
        <f t="shared" si="9"/>
        <v/>
      </c>
      <c r="B465" s="3" t="str">
        <f t="shared" si="11"/>
        <v/>
      </c>
      <c r="C465" s="3" t="str">
        <f t="shared" si="11"/>
        <v/>
      </c>
      <c r="D465" s="3" t="str">
        <f t="shared" si="11"/>
        <v/>
      </c>
      <c r="E465" s="3" t="str">
        <f t="shared" si="11"/>
        <v/>
      </c>
      <c r="F465" s="3" t="str">
        <f t="shared" si="11"/>
        <v/>
      </c>
      <c r="G465" s="3" t="str">
        <f t="shared" si="11"/>
        <v/>
      </c>
      <c r="H465" s="3" t="str">
        <f t="shared" si="11"/>
        <v/>
      </c>
      <c r="I465" s="3" t="str">
        <f t="shared" si="11"/>
        <v/>
      </c>
      <c r="J465" s="3" t="str">
        <f t="shared" si="11"/>
        <v xml:space="preserve">    (, @COURSE_COP_4620),</v>
      </c>
      <c r="K465" s="3" t="str">
        <f t="shared" si="11"/>
        <v/>
      </c>
      <c r="L465" s="3" t="str">
        <f t="shared" si="11"/>
        <v/>
      </c>
      <c r="M465" s="3" t="str">
        <f t="shared" si="11"/>
        <v/>
      </c>
      <c r="N465" s="3" t="str">
        <f t="shared" si="11"/>
        <v/>
      </c>
      <c r="O465" s="3" t="str">
        <f t="shared" si="11"/>
        <v/>
      </c>
      <c r="P465" s="3" t="str">
        <f t="shared" si="11"/>
        <v/>
      </c>
      <c r="Q465" s="3" t="str">
        <f t="shared" si="11"/>
        <v/>
      </c>
      <c r="R465" s="3" t="str">
        <f t="shared" si="11"/>
        <v/>
      </c>
      <c r="S465" s="3" t="str">
        <f t="shared" si="11"/>
        <v/>
      </c>
      <c r="T465" s="3" t="str">
        <f t="shared" si="11"/>
        <v/>
      </c>
      <c r="U465" s="3" t="str">
        <f t="shared" si="11"/>
        <v xml:space="preserve">    (, @COURSE_CNT_4411),</v>
      </c>
      <c r="V465" s="3" t="str">
        <f t="shared" si="11"/>
        <v/>
      </c>
      <c r="W465" s="3" t="str">
        <f t="shared" si="11"/>
        <v/>
      </c>
      <c r="X465" s="3" t="str">
        <f t="shared" si="11"/>
        <v/>
      </c>
      <c r="Y465" s="3" t="str">
        <f t="shared" si="11"/>
        <v/>
      </c>
      <c r="Z465" s="3" t="str">
        <f t="shared" si="11"/>
        <v/>
      </c>
      <c r="AA465" s="3" t="str">
        <f t="shared" si="11"/>
        <v/>
      </c>
      <c r="AB465" s="3" t="str">
        <f t="shared" si="11"/>
        <v xml:space="preserve">    (, @COURSE_COP_4020),</v>
      </c>
      <c r="AC465" s="3" t="str">
        <f t="shared" si="11"/>
        <v/>
      </c>
      <c r="AD465" s="3" t="str">
        <f t="shared" si="11"/>
        <v/>
      </c>
      <c r="AE465" s="3" t="str">
        <f t="shared" si="11"/>
        <v/>
      </c>
      <c r="AF465" s="3" t="str">
        <f t="shared" si="11"/>
        <v/>
      </c>
      <c r="AG465" s="3" t="str">
        <f t="shared" si="11"/>
        <v/>
      </c>
      <c r="AH465" s="3" t="str">
        <f t="shared" si="11"/>
        <v/>
      </c>
      <c r="AI465" s="3" t="str">
        <f t="shared" si="11"/>
        <v/>
      </c>
      <c r="AJ465" s="3" t="str">
        <f t="shared" si="11"/>
        <v/>
      </c>
      <c r="AK465" s="3" t="str">
        <f t="shared" si="11"/>
        <v xml:space="preserve">    (, @COURSE_CIS_4915),</v>
      </c>
      <c r="AL465" s="3" t="str">
        <f t="shared" si="11"/>
        <v/>
      </c>
      <c r="AM465" s="3" t="str">
        <f t="shared" si="11"/>
        <v/>
      </c>
      <c r="AN465" s="3" t="str">
        <f t="shared" si="11"/>
        <v/>
      </c>
      <c r="AO465" s="3" t="str">
        <f t="shared" si="11"/>
        <v/>
      </c>
      <c r="AP465" s="3" t="str">
        <f t="shared" si="11"/>
        <v/>
      </c>
      <c r="AQ465" s="3" t="str">
        <f t="shared" si="11"/>
        <v/>
      </c>
      <c r="AR465" s="3" t="str">
        <f t="shared" si="11"/>
        <v/>
      </c>
      <c r="AS465" s="3" t="str">
        <f t="shared" si="11"/>
        <v/>
      </c>
      <c r="AT465" s="3" t="str">
        <f t="shared" si="11"/>
        <v/>
      </c>
      <c r="AU465" s="3" t="str">
        <f t="shared" si="11"/>
        <v/>
      </c>
      <c r="AV465" s="3" t="str">
        <f t="shared" si="11"/>
        <v/>
      </c>
      <c r="AW465" s="3" t="str">
        <f t="shared" si="11"/>
        <v/>
      </c>
      <c r="AX465" s="3" t="str">
        <f t="shared" si="11"/>
        <v/>
      </c>
      <c r="AY465" s="3" t="str">
        <f t="shared" si="11"/>
        <v/>
      </c>
      <c r="AZ465" s="3" t="str">
        <f t="shared" si="11"/>
        <v/>
      </c>
      <c r="BA465" s="3" t="str">
        <f t="shared" si="11"/>
        <v/>
      </c>
      <c r="BB465" s="3" t="str">
        <f t="shared" si="11"/>
        <v/>
      </c>
      <c r="BC465" s="3" t="str">
        <f t="shared" si="11"/>
        <v/>
      </c>
      <c r="BD465" s="3" t="str">
        <f t="shared" si="11"/>
        <v/>
      </c>
      <c r="BE465" s="3" t="str">
        <f t="shared" si="11"/>
        <v/>
      </c>
      <c r="BF465" s="3" t="str">
        <f t="shared" si="11"/>
        <v/>
      </c>
    </row>
    <row r="466" spans="1:58" x14ac:dyDescent="0.3">
      <c r="A466" s="3" t="str">
        <f t="shared" si="9"/>
        <v/>
      </c>
      <c r="B466" s="3" t="str">
        <f t="shared" si="11"/>
        <v/>
      </c>
      <c r="C466" s="3" t="str">
        <f t="shared" si="11"/>
        <v/>
      </c>
      <c r="D466" s="3" t="str">
        <f t="shared" si="11"/>
        <v/>
      </c>
      <c r="E466" s="3" t="str">
        <f t="shared" si="11"/>
        <v/>
      </c>
      <c r="F466" s="3" t="str">
        <f t="shared" si="11"/>
        <v/>
      </c>
      <c r="G466" s="3" t="str">
        <f t="shared" si="11"/>
        <v/>
      </c>
      <c r="H466" s="3" t="str">
        <f t="shared" si="11"/>
        <v/>
      </c>
      <c r="I466" s="3" t="str">
        <f t="shared" si="11"/>
        <v/>
      </c>
      <c r="J466" s="3" t="str">
        <f t="shared" si="11"/>
        <v xml:space="preserve">    (, @COURSE_COP_4656),</v>
      </c>
      <c r="K466" s="3" t="str">
        <f t="shared" si="11"/>
        <v/>
      </c>
      <c r="L466" s="3" t="str">
        <f t="shared" si="11"/>
        <v/>
      </c>
      <c r="M466" s="3" t="str">
        <f t="shared" si="11"/>
        <v/>
      </c>
      <c r="N466" s="3" t="str">
        <f t="shared" si="11"/>
        <v/>
      </c>
      <c r="O466" s="3" t="str">
        <f t="shared" si="11"/>
        <v/>
      </c>
      <c r="P466" s="3" t="str">
        <f t="shared" si="11"/>
        <v/>
      </c>
      <c r="Q466" s="3" t="str">
        <f t="shared" si="11"/>
        <v/>
      </c>
      <c r="R466" s="3" t="str">
        <f t="shared" si="11"/>
        <v/>
      </c>
      <c r="S466" s="3" t="str">
        <f t="shared" si="11"/>
        <v/>
      </c>
      <c r="T466" s="3" t="str">
        <f t="shared" si="11"/>
        <v/>
      </c>
      <c r="U466" s="3" t="str">
        <f t="shared" si="11"/>
        <v xml:space="preserve">    (, @COURSE_CNT_4419),</v>
      </c>
      <c r="V466" s="3" t="str">
        <f t="shared" si="11"/>
        <v/>
      </c>
      <c r="W466" s="3" t="str">
        <f t="shared" si="11"/>
        <v/>
      </c>
      <c r="X466" s="3" t="str">
        <f t="shared" si="11"/>
        <v/>
      </c>
      <c r="Y466" s="3" t="str">
        <f t="shared" si="11"/>
        <v/>
      </c>
      <c r="Z466" s="3" t="str">
        <f t="shared" si="11"/>
        <v/>
      </c>
      <c r="AA466" s="3" t="str">
        <f t="shared" si="11"/>
        <v/>
      </c>
      <c r="AB466" s="3" t="str">
        <f t="shared" si="11"/>
        <v xml:space="preserve">    (, @COURSE_COP_4365),</v>
      </c>
      <c r="AC466" s="3" t="str">
        <f t="shared" si="11"/>
        <v/>
      </c>
      <c r="AD466" s="3" t="str">
        <f t="shared" si="11"/>
        <v/>
      </c>
      <c r="AE466" s="3" t="str">
        <f t="shared" si="11"/>
        <v/>
      </c>
      <c r="AF466" s="3" t="str">
        <f t="shared" si="11"/>
        <v/>
      </c>
      <c r="AG466" s="3" t="str">
        <f t="shared" si="11"/>
        <v/>
      </c>
      <c r="AH466" s="3" t="str">
        <f t="shared" si="11"/>
        <v/>
      </c>
      <c r="AI466" s="3" t="str">
        <f t="shared" si="11"/>
        <v/>
      </c>
      <c r="AJ466" s="3" t="str">
        <f t="shared" si="11"/>
        <v/>
      </c>
      <c r="AK466" s="3" t="str">
        <f t="shared" si="11"/>
        <v xml:space="preserve">    (, @COURSE_CIS_4930),</v>
      </c>
      <c r="AL466" s="3" t="str">
        <f t="shared" si="11"/>
        <v/>
      </c>
      <c r="AM466" s="3" t="str">
        <f t="shared" si="11"/>
        <v/>
      </c>
      <c r="AN466" s="3" t="str">
        <f t="shared" si="11"/>
        <v/>
      </c>
      <c r="AO466" s="3" t="str">
        <f t="shared" si="11"/>
        <v/>
      </c>
      <c r="AP466" s="3" t="str">
        <f t="shared" si="11"/>
        <v/>
      </c>
      <c r="AQ466" s="3" t="str">
        <f t="shared" si="11"/>
        <v/>
      </c>
      <c r="AR466" s="3" t="str">
        <f t="shared" si="11"/>
        <v/>
      </c>
      <c r="AS466" s="3" t="str">
        <f t="shared" si="11"/>
        <v/>
      </c>
      <c r="AT466" s="3" t="str">
        <f t="shared" si="11"/>
        <v/>
      </c>
      <c r="AU466" s="3" t="str">
        <f t="shared" si="11"/>
        <v/>
      </c>
      <c r="AV466" s="3" t="str">
        <f t="shared" si="11"/>
        <v/>
      </c>
      <c r="AW466" s="3" t="str">
        <f t="shared" si="11"/>
        <v/>
      </c>
      <c r="AX466" s="3" t="str">
        <f t="shared" si="11"/>
        <v/>
      </c>
      <c r="AY466" s="3" t="str">
        <f t="shared" si="11"/>
        <v/>
      </c>
      <c r="AZ466" s="3" t="str">
        <f t="shared" si="11"/>
        <v/>
      </c>
      <c r="BA466" s="3" t="str">
        <f t="shared" si="11"/>
        <v/>
      </c>
      <c r="BB466" s="3" t="str">
        <f t="shared" si="11"/>
        <v/>
      </c>
      <c r="BC466" s="3" t="str">
        <f t="shared" si="11"/>
        <v/>
      </c>
      <c r="BD466" s="3" t="str">
        <f t="shared" si="11"/>
        <v/>
      </c>
      <c r="BE466" s="3" t="str">
        <f t="shared" si="11"/>
        <v/>
      </c>
      <c r="BF466" s="3" t="str">
        <f t="shared" si="11"/>
        <v/>
      </c>
    </row>
    <row r="467" spans="1:58" x14ac:dyDescent="0.3">
      <c r="A467" s="3" t="str">
        <f t="shared" si="9"/>
        <v/>
      </c>
      <c r="B467" s="3" t="str">
        <f t="shared" si="11"/>
        <v/>
      </c>
      <c r="C467" s="3" t="str">
        <f t="shared" si="11"/>
        <v/>
      </c>
      <c r="D467" s="3" t="str">
        <f t="shared" si="11"/>
        <v/>
      </c>
      <c r="E467" s="3" t="str">
        <f t="shared" si="11"/>
        <v/>
      </c>
      <c r="F467" s="3" t="str">
        <f t="shared" si="11"/>
        <v/>
      </c>
      <c r="G467" s="3" t="str">
        <f t="shared" si="11"/>
        <v/>
      </c>
      <c r="H467" s="3" t="str">
        <f t="shared" si="11"/>
        <v/>
      </c>
      <c r="I467" s="3" t="str">
        <f t="shared" si="11"/>
        <v/>
      </c>
      <c r="J467" s="3" t="str">
        <f t="shared" si="11"/>
        <v xml:space="preserve">    (, @COURSE_COP_4710),</v>
      </c>
      <c r="K467" s="3" t="str">
        <f t="shared" si="11"/>
        <v/>
      </c>
      <c r="L467" s="3" t="str">
        <f t="shared" si="11"/>
        <v/>
      </c>
      <c r="M467" s="3" t="str">
        <f t="shared" si="11"/>
        <v/>
      </c>
      <c r="N467" s="3" t="str">
        <f t="shared" si="11"/>
        <v/>
      </c>
      <c r="O467" s="3" t="str">
        <f t="shared" si="11"/>
        <v/>
      </c>
      <c r="P467" s="3" t="str">
        <f t="shared" si="11"/>
        <v/>
      </c>
      <c r="Q467" s="3" t="str">
        <f t="shared" si="11"/>
        <v/>
      </c>
      <c r="R467" s="3" t="str">
        <f t="shared" si="11"/>
        <v/>
      </c>
      <c r="S467" s="3" t="str">
        <f t="shared" si="11"/>
        <v/>
      </c>
      <c r="T467" s="3" t="str">
        <f t="shared" si="11"/>
        <v/>
      </c>
      <c r="U467" s="3" t="str">
        <f t="shared" si="11"/>
        <v xml:space="preserve">    (, @COURSE_COP_4020),</v>
      </c>
      <c r="V467" s="3" t="str">
        <f t="shared" si="11"/>
        <v/>
      </c>
      <c r="W467" s="3" t="str">
        <f t="shared" si="11"/>
        <v/>
      </c>
      <c r="X467" s="3" t="str">
        <f t="shared" si="11"/>
        <v/>
      </c>
      <c r="Y467" s="3" t="str">
        <f t="shared" si="11"/>
        <v/>
      </c>
      <c r="Z467" s="3" t="str">
        <f t="shared" si="11"/>
        <v/>
      </c>
      <c r="AA467" s="3" t="str">
        <f t="shared" si="11"/>
        <v/>
      </c>
      <c r="AB467" s="3" t="str">
        <f t="shared" si="11"/>
        <v xml:space="preserve">    (, @COURSE_COP_4520),</v>
      </c>
      <c r="AC467" s="3" t="str">
        <f t="shared" si="11"/>
        <v/>
      </c>
      <c r="AD467" s="3" t="str">
        <f t="shared" si="11"/>
        <v/>
      </c>
      <c r="AE467" s="3" t="str">
        <f t="shared" si="11"/>
        <v/>
      </c>
      <c r="AF467" s="3" t="str">
        <f t="shared" si="11"/>
        <v/>
      </c>
      <c r="AG467" s="3" t="str">
        <f t="shared" si="11"/>
        <v/>
      </c>
      <c r="AH467" s="3" t="str">
        <f t="shared" si="11"/>
        <v/>
      </c>
      <c r="AI467" s="3" t="str">
        <f t="shared" si="11"/>
        <v/>
      </c>
      <c r="AJ467" s="3" t="str">
        <f t="shared" si="11"/>
        <v/>
      </c>
      <c r="AK467" s="3" t="str">
        <f t="shared" si="11"/>
        <v xml:space="preserve">    (, @COURSE_CIS_4940),</v>
      </c>
      <c r="AL467" s="3" t="str">
        <f t="shared" si="11"/>
        <v/>
      </c>
      <c r="AM467" s="3" t="str">
        <f t="shared" si="11"/>
        <v/>
      </c>
      <c r="AN467" s="3" t="str">
        <f t="shared" si="11"/>
        <v/>
      </c>
      <c r="AO467" s="3" t="str">
        <f t="shared" si="11"/>
        <v/>
      </c>
      <c r="AP467" s="3" t="str">
        <f t="shared" si="11"/>
        <v/>
      </c>
      <c r="AQ467" s="3" t="str">
        <f t="shared" si="11"/>
        <v/>
      </c>
      <c r="AR467" s="3" t="str">
        <f t="shared" si="11"/>
        <v/>
      </c>
      <c r="AS467" s="3" t="str">
        <f t="shared" si="11"/>
        <v/>
      </c>
      <c r="AT467" s="3" t="str">
        <f t="shared" si="11"/>
        <v/>
      </c>
      <c r="AU467" s="3" t="str">
        <f t="shared" si="11"/>
        <v/>
      </c>
      <c r="AV467" s="3" t="str">
        <f t="shared" si="11"/>
        <v/>
      </c>
      <c r="AW467" s="3" t="str">
        <f t="shared" si="11"/>
        <v/>
      </c>
      <c r="AX467" s="3" t="str">
        <f t="shared" si="11"/>
        <v/>
      </c>
      <c r="AY467" s="3" t="str">
        <f t="shared" si="11"/>
        <v/>
      </c>
      <c r="AZ467" s="3" t="str">
        <f t="shared" si="11"/>
        <v/>
      </c>
      <c r="BA467" s="3" t="str">
        <f t="shared" si="11"/>
        <v/>
      </c>
      <c r="BB467" s="3" t="str">
        <f t="shared" si="11"/>
        <v/>
      </c>
      <c r="BC467" s="3" t="str">
        <f t="shared" si="11"/>
        <v/>
      </c>
      <c r="BD467" s="3" t="str">
        <f t="shared" si="11"/>
        <v/>
      </c>
      <c r="BE467" s="3" t="str">
        <f t="shared" si="11"/>
        <v/>
      </c>
      <c r="BF467" s="3" t="str">
        <f t="shared" si="11"/>
        <v/>
      </c>
    </row>
    <row r="468" spans="1:58" x14ac:dyDescent="0.3">
      <c r="A468" s="3" t="str">
        <f t="shared" si="9"/>
        <v/>
      </c>
      <c r="B468" s="3" t="str">
        <f t="shared" si="11"/>
        <v/>
      </c>
      <c r="C468" s="3" t="str">
        <f t="shared" si="11"/>
        <v/>
      </c>
      <c r="D468" s="3" t="str">
        <f t="shared" si="11"/>
        <v/>
      </c>
      <c r="E468" s="3" t="str">
        <f t="shared" si="11"/>
        <v/>
      </c>
      <c r="F468" s="3" t="str">
        <f t="shared" si="11"/>
        <v/>
      </c>
      <c r="G468" s="3" t="str">
        <f t="shared" si="11"/>
        <v/>
      </c>
      <c r="H468" s="3" t="str">
        <f t="shared" si="11"/>
        <v/>
      </c>
      <c r="I468" s="3" t="str">
        <f t="shared" si="11"/>
        <v/>
      </c>
      <c r="J468" s="3" t="str">
        <f t="shared" si="11"/>
        <v xml:space="preserve">    (, @COURSE_COT_4210),</v>
      </c>
      <c r="K468" s="3" t="str">
        <f t="shared" si="11"/>
        <v/>
      </c>
      <c r="L468" s="3" t="str">
        <f t="shared" si="11"/>
        <v/>
      </c>
      <c r="M468" s="3" t="str">
        <f t="shared" si="11"/>
        <v/>
      </c>
      <c r="N468" s="3" t="str">
        <f t="shared" si="11"/>
        <v/>
      </c>
      <c r="O468" s="3" t="str">
        <f t="shared" si="11"/>
        <v/>
      </c>
      <c r="P468" s="3" t="str">
        <f t="shared" si="11"/>
        <v/>
      </c>
      <c r="Q468" s="3" t="str">
        <f t="shared" si="11"/>
        <v/>
      </c>
      <c r="R468" s="3" t="str">
        <f t="shared" si="11"/>
        <v/>
      </c>
      <c r="S468" s="3" t="str">
        <f t="shared" si="11"/>
        <v/>
      </c>
      <c r="T468" s="3" t="str">
        <f t="shared" si="11"/>
        <v/>
      </c>
      <c r="U468" s="3" t="str">
        <f t="shared" si="11"/>
        <v xml:space="preserve">    (, @COURSE_COP_4365),</v>
      </c>
      <c r="V468" s="3" t="str">
        <f t="shared" si="11"/>
        <v/>
      </c>
      <c r="W468" s="3" t="str">
        <f t="shared" si="11"/>
        <v/>
      </c>
      <c r="X468" s="3" t="str">
        <f t="shared" si="11"/>
        <v/>
      </c>
      <c r="Y468" s="3" t="str">
        <f t="shared" si="11"/>
        <v/>
      </c>
      <c r="Z468" s="3" t="str">
        <f t="shared" si="11"/>
        <v/>
      </c>
      <c r="AA468" s="3" t="str">
        <f t="shared" si="11"/>
        <v/>
      </c>
      <c r="AB468" s="3" t="str">
        <f t="shared" si="11"/>
        <v xml:space="preserve">    (, @COURSE_COP_4620),</v>
      </c>
      <c r="AC468" s="3" t="str">
        <f t="shared" si="11"/>
        <v/>
      </c>
      <c r="AD468" s="3" t="str">
        <f t="shared" si="11"/>
        <v/>
      </c>
      <c r="AE468" s="3" t="str">
        <f t="shared" si="11"/>
        <v/>
      </c>
      <c r="AF468" s="3" t="str">
        <f t="shared" si="11"/>
        <v/>
      </c>
      <c r="AG468" s="3" t="str">
        <f t="shared" si="11"/>
        <v/>
      </c>
      <c r="AH468" s="3" t="str">
        <f t="shared" si="11"/>
        <v/>
      </c>
      <c r="AI468" s="3" t="str">
        <f t="shared" si="11"/>
        <v/>
      </c>
      <c r="AJ468" s="3" t="str">
        <f t="shared" si="11"/>
        <v/>
      </c>
      <c r="AK468" s="3" t="str">
        <f t="shared" si="11"/>
        <v xml:space="preserve">    (, @COURSE_CNT_4004),</v>
      </c>
      <c r="AL468" s="3" t="str">
        <f t="shared" si="11"/>
        <v/>
      </c>
      <c r="AM468" s="3" t="str">
        <f t="shared" si="11"/>
        <v/>
      </c>
      <c r="AN468" s="3" t="str">
        <f t="shared" si="11"/>
        <v/>
      </c>
      <c r="AO468" s="3" t="str">
        <f t="shared" si="11"/>
        <v/>
      </c>
      <c r="AP468" s="3" t="str">
        <f t="shared" si="11"/>
        <v/>
      </c>
      <c r="AQ468" s="3" t="str">
        <f t="shared" si="11"/>
        <v/>
      </c>
      <c r="AR468" s="3" t="str">
        <f t="shared" si="11"/>
        <v/>
      </c>
      <c r="AS468" s="3" t="str">
        <f t="shared" si="11"/>
        <v/>
      </c>
      <c r="AT468" s="3" t="str">
        <f t="shared" si="11"/>
        <v/>
      </c>
      <c r="AU468" s="3" t="str">
        <f t="shared" si="11"/>
        <v/>
      </c>
      <c r="AV468" s="3" t="str">
        <f t="shared" si="11"/>
        <v/>
      </c>
      <c r="AW468" s="3" t="str">
        <f t="shared" si="11"/>
        <v/>
      </c>
      <c r="AX468" s="3" t="str">
        <f t="shared" si="11"/>
        <v/>
      </c>
      <c r="AY468" s="3" t="str">
        <f t="shared" si="11"/>
        <v/>
      </c>
      <c r="AZ468" s="3" t="str">
        <f t="shared" si="11"/>
        <v/>
      </c>
      <c r="BA468" s="3" t="str">
        <f t="shared" si="11"/>
        <v/>
      </c>
      <c r="BB468" s="3" t="str">
        <f t="shared" si="11"/>
        <v/>
      </c>
      <c r="BC468" s="3" t="str">
        <f t="shared" si="11"/>
        <v/>
      </c>
      <c r="BD468" s="3" t="str">
        <f t="shared" si="11"/>
        <v/>
      </c>
      <c r="BE468" s="3" t="str">
        <f t="shared" si="11"/>
        <v/>
      </c>
      <c r="BF468" s="3" t="str">
        <f t="shared" si="11"/>
        <v/>
      </c>
    </row>
    <row r="469" spans="1:58" x14ac:dyDescent="0.3">
      <c r="A469" s="3" t="str">
        <f t="shared" si="9"/>
        <v/>
      </c>
      <c r="B469" s="3" t="str">
        <f t="shared" si="11"/>
        <v/>
      </c>
      <c r="C469" s="3" t="str">
        <f t="shared" si="11"/>
        <v/>
      </c>
      <c r="D469" s="3" t="str">
        <f t="shared" si="11"/>
        <v/>
      </c>
      <c r="E469" s="3" t="str">
        <f t="shared" si="11"/>
        <v/>
      </c>
      <c r="F469" s="3" t="str">
        <f t="shared" si="11"/>
        <v/>
      </c>
      <c r="G469" s="3" t="str">
        <f t="shared" si="11"/>
        <v/>
      </c>
      <c r="H469" s="3" t="str">
        <f t="shared" si="11"/>
        <v/>
      </c>
      <c r="I469" s="3" t="str">
        <f t="shared" si="11"/>
        <v/>
      </c>
      <c r="J469" s="3" t="str">
        <f t="shared" si="11"/>
        <v xml:space="preserve">    (, @COURSE_COT_4521),</v>
      </c>
      <c r="K469" s="3" t="str">
        <f t="shared" si="11"/>
        <v/>
      </c>
      <c r="L469" s="3" t="str">
        <f t="shared" si="11"/>
        <v/>
      </c>
      <c r="M469" s="3" t="str">
        <f t="shared" si="11"/>
        <v/>
      </c>
      <c r="N469" s="3" t="str">
        <f t="shared" ref="N469:BF472" si="12">IF(N430 &lt;&gt; "", "    (" &amp; MID(N$1, 5, 100) &amp; ", @COURSE_" &amp; MID(N430, 1, 3) &amp; "_" &amp; MID(N430, 5, 10) &amp; "),", "")</f>
        <v/>
      </c>
      <c r="O469" s="3" t="str">
        <f t="shared" si="12"/>
        <v/>
      </c>
      <c r="P469" s="3" t="str">
        <f t="shared" si="12"/>
        <v/>
      </c>
      <c r="Q469" s="3" t="str">
        <f t="shared" si="12"/>
        <v/>
      </c>
      <c r="R469" s="3" t="str">
        <f t="shared" si="12"/>
        <v/>
      </c>
      <c r="S469" s="3" t="str">
        <f t="shared" si="12"/>
        <v/>
      </c>
      <c r="T469" s="3" t="str">
        <f t="shared" si="12"/>
        <v/>
      </c>
      <c r="U469" s="3" t="str">
        <f t="shared" si="12"/>
        <v xml:space="preserve">    (, @COURSE_COP_4520),</v>
      </c>
      <c r="V469" s="3" t="str">
        <f t="shared" si="12"/>
        <v/>
      </c>
      <c r="W469" s="3" t="str">
        <f t="shared" si="12"/>
        <v/>
      </c>
      <c r="X469" s="3" t="str">
        <f t="shared" si="12"/>
        <v/>
      </c>
      <c r="Y469" s="3" t="str">
        <f t="shared" si="12"/>
        <v/>
      </c>
      <c r="Z469" s="3" t="str">
        <f t="shared" si="12"/>
        <v/>
      </c>
      <c r="AA469" s="3" t="str">
        <f t="shared" si="12"/>
        <v/>
      </c>
      <c r="AB469" s="3" t="str">
        <f t="shared" si="12"/>
        <v xml:space="preserve">    (, @COURSE_COP_4656),</v>
      </c>
      <c r="AC469" s="3" t="str">
        <f t="shared" si="12"/>
        <v/>
      </c>
      <c r="AD469" s="3" t="str">
        <f t="shared" si="12"/>
        <v/>
      </c>
      <c r="AE469" s="3" t="str">
        <f t="shared" si="12"/>
        <v/>
      </c>
      <c r="AF469" s="3" t="str">
        <f t="shared" si="12"/>
        <v/>
      </c>
      <c r="AG469" s="3" t="str">
        <f t="shared" si="12"/>
        <v/>
      </c>
      <c r="AH469" s="3" t="str">
        <f t="shared" si="12"/>
        <v/>
      </c>
      <c r="AI469" s="3" t="str">
        <f t="shared" si="12"/>
        <v/>
      </c>
      <c r="AJ469" s="3" t="str">
        <f t="shared" si="12"/>
        <v/>
      </c>
      <c r="AK469" s="3" t="str">
        <f t="shared" si="12"/>
        <v xml:space="preserve">    (, @COURSE_CNT_4411),</v>
      </c>
      <c r="AL469" s="3" t="str">
        <f t="shared" si="12"/>
        <v/>
      </c>
      <c r="AM469" s="3" t="str">
        <f t="shared" si="12"/>
        <v/>
      </c>
      <c r="AN469" s="3" t="str">
        <f t="shared" si="12"/>
        <v/>
      </c>
      <c r="AO469" s="3" t="str">
        <f t="shared" si="12"/>
        <v/>
      </c>
      <c r="AP469" s="3" t="str">
        <f t="shared" si="12"/>
        <v/>
      </c>
      <c r="AQ469" s="3" t="str">
        <f t="shared" si="12"/>
        <v/>
      </c>
      <c r="AR469" s="3" t="str">
        <f t="shared" si="12"/>
        <v/>
      </c>
      <c r="AS469" s="3" t="str">
        <f t="shared" si="12"/>
        <v/>
      </c>
      <c r="AT469" s="3" t="str">
        <f t="shared" si="12"/>
        <v/>
      </c>
      <c r="AU469" s="3" t="str">
        <f t="shared" si="12"/>
        <v/>
      </c>
      <c r="AV469" s="3" t="str">
        <f t="shared" si="12"/>
        <v/>
      </c>
      <c r="AW469" s="3" t="str">
        <f t="shared" si="12"/>
        <v/>
      </c>
      <c r="AX469" s="3" t="str">
        <f t="shared" si="12"/>
        <v/>
      </c>
      <c r="AY469" s="3" t="str">
        <f t="shared" si="12"/>
        <v/>
      </c>
      <c r="AZ469" s="3" t="str">
        <f t="shared" si="12"/>
        <v/>
      </c>
      <c r="BA469" s="3" t="str">
        <f t="shared" si="12"/>
        <v/>
      </c>
      <c r="BB469" s="3" t="str">
        <f t="shared" si="12"/>
        <v/>
      </c>
      <c r="BC469" s="3" t="str">
        <f t="shared" si="12"/>
        <v/>
      </c>
      <c r="BD469" s="3" t="str">
        <f t="shared" si="12"/>
        <v/>
      </c>
      <c r="BE469" s="3" t="str">
        <f t="shared" si="12"/>
        <v/>
      </c>
      <c r="BF469" s="3" t="str">
        <f t="shared" si="12"/>
        <v/>
      </c>
    </row>
    <row r="470" spans="1:58" x14ac:dyDescent="0.3">
      <c r="A470" s="3" t="str">
        <f t="shared" si="9"/>
        <v/>
      </c>
      <c r="B470" s="3" t="str">
        <f t="shared" si="9"/>
        <v/>
      </c>
      <c r="C470" s="3" t="str">
        <f t="shared" si="9"/>
        <v/>
      </c>
      <c r="D470" s="3" t="str">
        <f t="shared" si="9"/>
        <v/>
      </c>
      <c r="E470" s="3" t="str">
        <f t="shared" si="9"/>
        <v/>
      </c>
      <c r="F470" s="3" t="str">
        <f t="shared" si="9"/>
        <v/>
      </c>
      <c r="G470" s="3" t="str">
        <f t="shared" si="9"/>
        <v/>
      </c>
      <c r="H470" s="3" t="str">
        <f t="shared" si="9"/>
        <v/>
      </c>
      <c r="I470" s="3" t="str">
        <f t="shared" si="9"/>
        <v/>
      </c>
      <c r="J470" s="3" t="str">
        <f t="shared" si="9"/>
        <v/>
      </c>
      <c r="K470" s="3" t="str">
        <f t="shared" si="9"/>
        <v/>
      </c>
      <c r="L470" s="3" t="str">
        <f t="shared" si="9"/>
        <v/>
      </c>
      <c r="M470" s="3" t="str">
        <f t="shared" si="9"/>
        <v/>
      </c>
      <c r="N470" s="3" t="str">
        <f t="shared" si="9"/>
        <v/>
      </c>
      <c r="O470" s="3" t="str">
        <f t="shared" si="9"/>
        <v/>
      </c>
      <c r="P470" s="3" t="str">
        <f t="shared" si="9"/>
        <v/>
      </c>
      <c r="Q470" s="3" t="str">
        <f t="shared" si="12"/>
        <v/>
      </c>
      <c r="R470" s="3" t="str">
        <f t="shared" si="12"/>
        <v/>
      </c>
      <c r="S470" s="3" t="str">
        <f t="shared" si="12"/>
        <v/>
      </c>
      <c r="T470" s="3" t="str">
        <f t="shared" si="12"/>
        <v/>
      </c>
      <c r="U470" s="3" t="str">
        <f t="shared" si="12"/>
        <v xml:space="preserve">    (, @COURSE_COP_4620),</v>
      </c>
      <c r="V470" s="3" t="str">
        <f t="shared" si="12"/>
        <v/>
      </c>
      <c r="W470" s="3" t="str">
        <f t="shared" si="12"/>
        <v/>
      </c>
      <c r="X470" s="3" t="str">
        <f t="shared" si="12"/>
        <v/>
      </c>
      <c r="Y470" s="3" t="str">
        <f t="shared" si="12"/>
        <v/>
      </c>
      <c r="Z470" s="3" t="str">
        <f t="shared" si="12"/>
        <v/>
      </c>
      <c r="AA470" s="3" t="str">
        <f t="shared" si="12"/>
        <v/>
      </c>
      <c r="AB470" s="3" t="str">
        <f t="shared" si="12"/>
        <v xml:space="preserve">    (, @COURSE_COP_4710),</v>
      </c>
      <c r="AC470" s="3" t="str">
        <f t="shared" si="12"/>
        <v/>
      </c>
      <c r="AD470" s="3" t="str">
        <f t="shared" si="12"/>
        <v/>
      </c>
      <c r="AE470" s="3" t="str">
        <f t="shared" si="12"/>
        <v/>
      </c>
      <c r="AF470" s="3" t="str">
        <f t="shared" si="12"/>
        <v/>
      </c>
      <c r="AG470" s="3" t="str">
        <f t="shared" si="12"/>
        <v/>
      </c>
      <c r="AH470" s="3" t="str">
        <f t="shared" si="12"/>
        <v/>
      </c>
      <c r="AI470" s="3" t="str">
        <f t="shared" si="12"/>
        <v/>
      </c>
      <c r="AJ470" s="3" t="str">
        <f t="shared" si="12"/>
        <v/>
      </c>
      <c r="AK470" s="3" t="str">
        <f t="shared" si="12"/>
        <v xml:space="preserve">    (, @COURSE_COP_4020),</v>
      </c>
      <c r="AL470" s="3" t="str">
        <f t="shared" si="12"/>
        <v/>
      </c>
      <c r="AM470" s="3" t="str">
        <f t="shared" si="12"/>
        <v/>
      </c>
      <c r="AN470" s="3" t="str">
        <f t="shared" si="12"/>
        <v/>
      </c>
      <c r="AO470" s="3" t="str">
        <f t="shared" si="12"/>
        <v/>
      </c>
      <c r="AP470" s="3" t="str">
        <f t="shared" si="12"/>
        <v/>
      </c>
      <c r="AQ470" s="3" t="str">
        <f t="shared" si="12"/>
        <v/>
      </c>
      <c r="AR470" s="3" t="str">
        <f t="shared" si="12"/>
        <v/>
      </c>
      <c r="AS470" s="3" t="str">
        <f t="shared" si="12"/>
        <v/>
      </c>
      <c r="AT470" s="3" t="str">
        <f t="shared" si="12"/>
        <v/>
      </c>
      <c r="AU470" s="3" t="str">
        <f t="shared" si="12"/>
        <v/>
      </c>
      <c r="AV470" s="3" t="str">
        <f t="shared" si="12"/>
        <v/>
      </c>
      <c r="AW470" s="3" t="str">
        <f t="shared" si="12"/>
        <v/>
      </c>
      <c r="AX470" s="3" t="str">
        <f t="shared" si="12"/>
        <v/>
      </c>
      <c r="AY470" s="3" t="str">
        <f t="shared" si="12"/>
        <v/>
      </c>
      <c r="AZ470" s="3" t="str">
        <f t="shared" si="12"/>
        <v/>
      </c>
      <c r="BA470" s="3" t="str">
        <f t="shared" si="12"/>
        <v/>
      </c>
      <c r="BB470" s="3" t="str">
        <f t="shared" si="12"/>
        <v/>
      </c>
      <c r="BC470" s="3" t="str">
        <f t="shared" si="12"/>
        <v/>
      </c>
      <c r="BD470" s="3" t="str">
        <f t="shared" si="12"/>
        <v/>
      </c>
      <c r="BE470" s="3" t="str">
        <f t="shared" si="12"/>
        <v/>
      </c>
      <c r="BF470" s="3" t="str">
        <f t="shared" si="12"/>
        <v/>
      </c>
    </row>
    <row r="471" spans="1:58" x14ac:dyDescent="0.3">
      <c r="A471" s="3" t="str">
        <f t="shared" si="9"/>
        <v/>
      </c>
      <c r="B471" s="3" t="str">
        <f t="shared" si="9"/>
        <v/>
      </c>
      <c r="C471" s="3" t="str">
        <f t="shared" si="9"/>
        <v/>
      </c>
      <c r="D471" s="3" t="str">
        <f t="shared" si="9"/>
        <v/>
      </c>
      <c r="E471" s="3" t="str">
        <f t="shared" si="9"/>
        <v/>
      </c>
      <c r="F471" s="3" t="str">
        <f t="shared" si="9"/>
        <v/>
      </c>
      <c r="G471" s="3" t="str">
        <f t="shared" si="9"/>
        <v/>
      </c>
      <c r="H471" s="3" t="str">
        <f t="shared" si="9"/>
        <v/>
      </c>
      <c r="I471" s="3" t="str">
        <f t="shared" si="9"/>
        <v/>
      </c>
      <c r="J471" s="3" t="str">
        <f t="shared" si="9"/>
        <v/>
      </c>
      <c r="K471" s="3" t="str">
        <f t="shared" si="9"/>
        <v/>
      </c>
      <c r="L471" s="3" t="str">
        <f t="shared" si="9"/>
        <v/>
      </c>
      <c r="M471" s="3" t="str">
        <f t="shared" si="9"/>
        <v/>
      </c>
      <c r="N471" s="3" t="str">
        <f t="shared" si="9"/>
        <v/>
      </c>
      <c r="O471" s="3" t="str">
        <f t="shared" si="9"/>
        <v/>
      </c>
      <c r="P471" s="3" t="str">
        <f t="shared" si="9"/>
        <v/>
      </c>
      <c r="Q471" s="3" t="str">
        <f t="shared" si="12"/>
        <v/>
      </c>
      <c r="R471" s="3" t="str">
        <f t="shared" si="12"/>
        <v/>
      </c>
      <c r="S471" s="3" t="str">
        <f t="shared" si="12"/>
        <v/>
      </c>
      <c r="T471" s="3" t="str">
        <f t="shared" si="12"/>
        <v/>
      </c>
      <c r="U471" s="3" t="str">
        <f t="shared" si="12"/>
        <v xml:space="preserve">    (, @COURSE_COP_4656),</v>
      </c>
      <c r="V471" s="3" t="str">
        <f t="shared" si="12"/>
        <v/>
      </c>
      <c r="W471" s="3" t="str">
        <f t="shared" si="12"/>
        <v/>
      </c>
      <c r="X471" s="3" t="str">
        <f t="shared" si="12"/>
        <v/>
      </c>
      <c r="Y471" s="3" t="str">
        <f t="shared" si="12"/>
        <v/>
      </c>
      <c r="Z471" s="3" t="str">
        <f t="shared" si="12"/>
        <v/>
      </c>
      <c r="AA471" s="3" t="str">
        <f t="shared" si="12"/>
        <v/>
      </c>
      <c r="AB471" s="3" t="str">
        <f t="shared" si="12"/>
        <v xml:space="preserve">    (, @COURSE_COT_4210),</v>
      </c>
      <c r="AC471" s="3" t="str">
        <f t="shared" si="12"/>
        <v/>
      </c>
      <c r="AD471" s="3" t="str">
        <f t="shared" si="12"/>
        <v/>
      </c>
      <c r="AE471" s="3" t="str">
        <f t="shared" si="12"/>
        <v/>
      </c>
      <c r="AF471" s="3" t="str">
        <f t="shared" si="12"/>
        <v/>
      </c>
      <c r="AG471" s="3" t="str">
        <f t="shared" si="12"/>
        <v/>
      </c>
      <c r="AH471" s="3" t="str">
        <f t="shared" si="12"/>
        <v/>
      </c>
      <c r="AI471" s="3" t="str">
        <f t="shared" si="12"/>
        <v/>
      </c>
      <c r="AJ471" s="3" t="str">
        <f t="shared" si="12"/>
        <v/>
      </c>
      <c r="AK471" s="3" t="str">
        <f t="shared" si="12"/>
        <v xml:space="preserve">    (, @COURSE_COP_4365),</v>
      </c>
      <c r="AL471" s="3" t="str">
        <f t="shared" si="12"/>
        <v/>
      </c>
      <c r="AM471" s="3" t="str">
        <f t="shared" si="12"/>
        <v/>
      </c>
      <c r="AN471" s="3" t="str">
        <f t="shared" si="12"/>
        <v/>
      </c>
      <c r="AO471" s="3" t="str">
        <f t="shared" si="12"/>
        <v/>
      </c>
      <c r="AP471" s="3" t="str">
        <f t="shared" si="12"/>
        <v/>
      </c>
      <c r="AQ471" s="3" t="str">
        <f t="shared" si="12"/>
        <v/>
      </c>
      <c r="AR471" s="3" t="str">
        <f t="shared" si="12"/>
        <v/>
      </c>
      <c r="AS471" s="3" t="str">
        <f t="shared" si="12"/>
        <v/>
      </c>
      <c r="AT471" s="3" t="str">
        <f t="shared" si="12"/>
        <v/>
      </c>
      <c r="AU471" s="3" t="str">
        <f t="shared" si="12"/>
        <v/>
      </c>
      <c r="AV471" s="3" t="str">
        <f t="shared" si="12"/>
        <v/>
      </c>
      <c r="AW471" s="3" t="str">
        <f t="shared" si="12"/>
        <v/>
      </c>
      <c r="AX471" s="3" t="str">
        <f t="shared" si="12"/>
        <v/>
      </c>
      <c r="AY471" s="3" t="str">
        <f t="shared" si="12"/>
        <v/>
      </c>
      <c r="AZ471" s="3" t="str">
        <f t="shared" si="12"/>
        <v/>
      </c>
      <c r="BA471" s="3" t="str">
        <f t="shared" si="12"/>
        <v/>
      </c>
      <c r="BB471" s="3" t="str">
        <f t="shared" si="12"/>
        <v/>
      </c>
      <c r="BC471" s="3" t="str">
        <f t="shared" si="12"/>
        <v/>
      </c>
      <c r="BD471" s="3" t="str">
        <f t="shared" si="12"/>
        <v/>
      </c>
      <c r="BE471" s="3" t="str">
        <f t="shared" si="12"/>
        <v/>
      </c>
      <c r="BF471" s="3" t="str">
        <f t="shared" si="12"/>
        <v/>
      </c>
    </row>
    <row r="472" spans="1:58" x14ac:dyDescent="0.3">
      <c r="A472" s="3" t="str">
        <f t="shared" si="9"/>
        <v/>
      </c>
      <c r="B472" s="3" t="str">
        <f t="shared" si="9"/>
        <v/>
      </c>
      <c r="C472" s="3" t="str">
        <f t="shared" si="9"/>
        <v/>
      </c>
      <c r="D472" s="3" t="str">
        <f t="shared" si="9"/>
        <v/>
      </c>
      <c r="E472" s="3" t="str">
        <f t="shared" si="9"/>
        <v/>
      </c>
      <c r="F472" s="3" t="str">
        <f t="shared" si="9"/>
        <v/>
      </c>
      <c r="G472" s="3" t="str">
        <f t="shared" si="9"/>
        <v/>
      </c>
      <c r="H472" s="3" t="str">
        <f t="shared" si="9"/>
        <v/>
      </c>
      <c r="I472" s="3" t="str">
        <f t="shared" si="9"/>
        <v/>
      </c>
      <c r="J472" s="3" t="str">
        <f t="shared" si="9"/>
        <v/>
      </c>
      <c r="K472" s="3" t="str">
        <f t="shared" si="9"/>
        <v/>
      </c>
      <c r="L472" s="3" t="str">
        <f t="shared" si="9"/>
        <v/>
      </c>
      <c r="M472" s="3" t="str">
        <f t="shared" si="9"/>
        <v/>
      </c>
      <c r="N472" s="3" t="str">
        <f t="shared" si="9"/>
        <v/>
      </c>
      <c r="O472" s="3" t="str">
        <f t="shared" si="9"/>
        <v/>
      </c>
      <c r="P472" s="3" t="str">
        <f t="shared" si="9"/>
        <v/>
      </c>
      <c r="Q472" s="3" t="str">
        <f t="shared" si="12"/>
        <v/>
      </c>
      <c r="R472" s="3" t="str">
        <f t="shared" si="12"/>
        <v/>
      </c>
      <c r="S472" s="3" t="str">
        <f t="shared" si="12"/>
        <v/>
      </c>
      <c r="T472" s="3" t="str">
        <f t="shared" si="12"/>
        <v/>
      </c>
      <c r="U472" s="3" t="str">
        <f t="shared" si="12"/>
        <v xml:space="preserve">    (, @COURSE_COP_4710),</v>
      </c>
      <c r="V472" s="3" t="str">
        <f t="shared" si="12"/>
        <v/>
      </c>
      <c r="W472" s="3" t="str">
        <f t="shared" si="12"/>
        <v/>
      </c>
      <c r="X472" s="3" t="str">
        <f t="shared" si="12"/>
        <v/>
      </c>
      <c r="Y472" s="3" t="str">
        <f t="shared" si="12"/>
        <v/>
      </c>
      <c r="Z472" s="3" t="str">
        <f t="shared" si="12"/>
        <v/>
      </c>
      <c r="AA472" s="3" t="str">
        <f t="shared" si="12"/>
        <v/>
      </c>
      <c r="AB472" s="3" t="str">
        <f t="shared" si="12"/>
        <v xml:space="preserve">    (, @COURSE_COT_4521),</v>
      </c>
      <c r="AC472" s="3" t="str">
        <f t="shared" si="12"/>
        <v/>
      </c>
      <c r="AD472" s="3" t="str">
        <f t="shared" si="12"/>
        <v/>
      </c>
      <c r="AE472" s="3" t="str">
        <f t="shared" si="12"/>
        <v/>
      </c>
      <c r="AF472" s="3" t="str">
        <f t="shared" si="12"/>
        <v/>
      </c>
      <c r="AG472" s="3" t="str">
        <f t="shared" si="12"/>
        <v/>
      </c>
      <c r="AH472" s="3" t="str">
        <f t="shared" si="12"/>
        <v/>
      </c>
      <c r="AI472" s="3" t="str">
        <f t="shared" si="12"/>
        <v/>
      </c>
      <c r="AJ472" s="3" t="str">
        <f t="shared" si="12"/>
        <v/>
      </c>
      <c r="AK472" s="3" t="str">
        <f t="shared" si="12"/>
        <v xml:space="preserve">    (, @COURSE_COP_4520),</v>
      </c>
      <c r="AL472" s="3" t="str">
        <f t="shared" si="12"/>
        <v/>
      </c>
      <c r="AM472" s="3" t="str">
        <f t="shared" si="12"/>
        <v/>
      </c>
      <c r="AN472" s="3" t="str">
        <f t="shared" si="12"/>
        <v/>
      </c>
      <c r="AO472" s="3" t="str">
        <f t="shared" si="12"/>
        <v/>
      </c>
      <c r="AP472" s="3" t="str">
        <f t="shared" si="12"/>
        <v/>
      </c>
      <c r="AQ472" s="3" t="str">
        <f t="shared" si="12"/>
        <v/>
      </c>
      <c r="AR472" s="3" t="str">
        <f t="shared" si="12"/>
        <v/>
      </c>
      <c r="AS472" s="3" t="str">
        <f t="shared" si="12"/>
        <v/>
      </c>
      <c r="AT472" s="3" t="str">
        <f t="shared" si="12"/>
        <v/>
      </c>
      <c r="AU472" s="3" t="str">
        <f t="shared" si="12"/>
        <v/>
      </c>
      <c r="AV472" s="3" t="str">
        <f t="shared" si="12"/>
        <v/>
      </c>
      <c r="AW472" s="3" t="str">
        <f t="shared" si="12"/>
        <v/>
      </c>
      <c r="AX472" s="3" t="str">
        <f t="shared" si="12"/>
        <v/>
      </c>
      <c r="AY472" s="3" t="str">
        <f t="shared" si="12"/>
        <v/>
      </c>
      <c r="AZ472" s="3" t="str">
        <f t="shared" si="12"/>
        <v/>
      </c>
      <c r="BA472" s="3" t="str">
        <f t="shared" si="12"/>
        <v/>
      </c>
      <c r="BB472" s="3" t="str">
        <f t="shared" si="12"/>
        <v/>
      </c>
      <c r="BC472" s="3" t="str">
        <f t="shared" si="12"/>
        <v/>
      </c>
      <c r="BD472" s="3" t="str">
        <f t="shared" si="12"/>
        <v/>
      </c>
      <c r="BE472" s="3" t="str">
        <f t="shared" si="12"/>
        <v/>
      </c>
      <c r="BF472" s="3" t="str">
        <f t="shared" si="12"/>
        <v/>
      </c>
    </row>
    <row r="473" spans="1:58" x14ac:dyDescent="0.3">
      <c r="A473" s="3" t="str">
        <f t="shared" ref="A473:BF477" si="13">IF(A434 &lt;&gt; "", "    (" &amp; MID(A$1, 5, 100) &amp; ", @COURSE_" &amp; MID(A434, 1, 3) &amp; "_" &amp; MID(A434, 5, 10) &amp; "),", "")</f>
        <v/>
      </c>
      <c r="B473" s="3" t="str">
        <f t="shared" si="13"/>
        <v/>
      </c>
      <c r="C473" s="3" t="str">
        <f t="shared" si="13"/>
        <v/>
      </c>
      <c r="D473" s="3" t="str">
        <f t="shared" si="13"/>
        <v/>
      </c>
      <c r="E473" s="3" t="str">
        <f t="shared" si="13"/>
        <v/>
      </c>
      <c r="F473" s="3" t="str">
        <f t="shared" si="13"/>
        <v/>
      </c>
      <c r="G473" s="3" t="str">
        <f t="shared" si="13"/>
        <v/>
      </c>
      <c r="H473" s="3" t="str">
        <f t="shared" si="13"/>
        <v/>
      </c>
      <c r="I473" s="3" t="str">
        <f t="shared" si="13"/>
        <v/>
      </c>
      <c r="J473" s="3" t="str">
        <f t="shared" si="13"/>
        <v/>
      </c>
      <c r="K473" s="3" t="str">
        <f t="shared" si="13"/>
        <v/>
      </c>
      <c r="L473" s="3" t="str">
        <f t="shared" si="13"/>
        <v/>
      </c>
      <c r="M473" s="3" t="str">
        <f t="shared" si="13"/>
        <v/>
      </c>
      <c r="N473" s="3" t="str">
        <f t="shared" si="13"/>
        <v/>
      </c>
      <c r="O473" s="3" t="str">
        <f t="shared" si="13"/>
        <v/>
      </c>
      <c r="P473" s="3" t="str">
        <f t="shared" si="13"/>
        <v/>
      </c>
      <c r="Q473" s="3" t="str">
        <f t="shared" si="13"/>
        <v/>
      </c>
      <c r="R473" s="3" t="str">
        <f t="shared" si="13"/>
        <v/>
      </c>
      <c r="S473" s="3" t="str">
        <f t="shared" si="13"/>
        <v/>
      </c>
      <c r="T473" s="3" t="str">
        <f t="shared" si="13"/>
        <v/>
      </c>
      <c r="U473" s="3" t="str">
        <f t="shared" si="13"/>
        <v xml:space="preserve">    (, @COURSE_COT_4210),</v>
      </c>
      <c r="V473" s="3" t="str">
        <f t="shared" si="13"/>
        <v/>
      </c>
      <c r="W473" s="3" t="str">
        <f t="shared" si="13"/>
        <v/>
      </c>
      <c r="X473" s="3" t="str">
        <f t="shared" si="13"/>
        <v/>
      </c>
      <c r="Y473" s="3" t="str">
        <f t="shared" si="13"/>
        <v/>
      </c>
      <c r="Z473" s="3" t="str">
        <f t="shared" si="13"/>
        <v/>
      </c>
      <c r="AA473" s="3" t="str">
        <f t="shared" si="13"/>
        <v/>
      </c>
      <c r="AB473" s="3" t="str">
        <f t="shared" si="13"/>
        <v/>
      </c>
      <c r="AC473" s="3" t="str">
        <f t="shared" si="13"/>
        <v/>
      </c>
      <c r="AD473" s="3" t="str">
        <f t="shared" si="13"/>
        <v/>
      </c>
      <c r="AE473" s="3" t="str">
        <f t="shared" si="13"/>
        <v/>
      </c>
      <c r="AF473" s="3" t="str">
        <f t="shared" si="13"/>
        <v/>
      </c>
      <c r="AG473" s="3" t="str">
        <f t="shared" si="13"/>
        <v/>
      </c>
      <c r="AH473" s="3" t="str">
        <f t="shared" si="13"/>
        <v/>
      </c>
      <c r="AI473" s="3" t="str">
        <f t="shared" si="13"/>
        <v/>
      </c>
      <c r="AJ473" s="3" t="str">
        <f t="shared" si="13"/>
        <v/>
      </c>
      <c r="AK473" s="3" t="str">
        <f t="shared" si="13"/>
        <v xml:space="preserve">    (, @COURSE_COP_4620),</v>
      </c>
      <c r="AL473" s="3" t="str">
        <f t="shared" si="13"/>
        <v/>
      </c>
      <c r="AM473" s="3" t="str">
        <f t="shared" si="13"/>
        <v/>
      </c>
      <c r="AN473" s="3" t="str">
        <f t="shared" si="13"/>
        <v/>
      </c>
      <c r="AO473" s="3" t="str">
        <f t="shared" si="13"/>
        <v/>
      </c>
      <c r="AP473" s="3" t="str">
        <f t="shared" si="13"/>
        <v/>
      </c>
      <c r="AQ473" s="3" t="str">
        <f t="shared" si="13"/>
        <v/>
      </c>
      <c r="AR473" s="3" t="str">
        <f t="shared" si="13"/>
        <v/>
      </c>
      <c r="AS473" s="3" t="str">
        <f t="shared" si="13"/>
        <v/>
      </c>
      <c r="AT473" s="3" t="str">
        <f t="shared" si="13"/>
        <v/>
      </c>
      <c r="AU473" s="3" t="str">
        <f t="shared" si="13"/>
        <v/>
      </c>
      <c r="AV473" s="3" t="str">
        <f t="shared" si="13"/>
        <v/>
      </c>
      <c r="AW473" s="3" t="str">
        <f t="shared" si="13"/>
        <v/>
      </c>
      <c r="AX473" s="3" t="str">
        <f t="shared" si="13"/>
        <v/>
      </c>
      <c r="AY473" s="3" t="str">
        <f t="shared" si="13"/>
        <v/>
      </c>
      <c r="AZ473" s="3" t="str">
        <f t="shared" si="13"/>
        <v/>
      </c>
      <c r="BA473" s="3" t="str">
        <f t="shared" si="13"/>
        <v/>
      </c>
      <c r="BB473" s="3" t="str">
        <f t="shared" si="13"/>
        <v/>
      </c>
      <c r="BC473" s="3" t="str">
        <f t="shared" si="13"/>
        <v/>
      </c>
      <c r="BD473" s="3" t="str">
        <f t="shared" si="13"/>
        <v/>
      </c>
      <c r="BE473" s="3" t="str">
        <f t="shared" si="13"/>
        <v/>
      </c>
      <c r="BF473" s="3" t="str">
        <f t="shared" si="13"/>
        <v/>
      </c>
    </row>
    <row r="474" spans="1:58" x14ac:dyDescent="0.3">
      <c r="A474" s="3" t="str">
        <f t="shared" si="13"/>
        <v/>
      </c>
      <c r="B474" s="3" t="str">
        <f t="shared" si="13"/>
        <v/>
      </c>
      <c r="C474" s="3" t="str">
        <f t="shared" si="13"/>
        <v/>
      </c>
      <c r="D474" s="3" t="str">
        <f t="shared" si="13"/>
        <v/>
      </c>
      <c r="E474" s="3" t="str">
        <f t="shared" si="13"/>
        <v/>
      </c>
      <c r="F474" s="3" t="str">
        <f t="shared" si="13"/>
        <v/>
      </c>
      <c r="G474" s="3" t="str">
        <f t="shared" si="13"/>
        <v/>
      </c>
      <c r="H474" s="3" t="str">
        <f t="shared" si="13"/>
        <v/>
      </c>
      <c r="I474" s="3" t="str">
        <f t="shared" si="13"/>
        <v/>
      </c>
      <c r="J474" s="3" t="str">
        <f t="shared" si="13"/>
        <v/>
      </c>
      <c r="K474" s="3" t="str">
        <f t="shared" si="13"/>
        <v/>
      </c>
      <c r="L474" s="3" t="str">
        <f t="shared" si="13"/>
        <v/>
      </c>
      <c r="M474" s="3" t="str">
        <f t="shared" si="13"/>
        <v/>
      </c>
      <c r="N474" s="3" t="str">
        <f t="shared" si="13"/>
        <v/>
      </c>
      <c r="O474" s="3" t="str">
        <f t="shared" si="13"/>
        <v/>
      </c>
      <c r="P474" s="3" t="str">
        <f t="shared" si="13"/>
        <v/>
      </c>
      <c r="Q474" s="3" t="str">
        <f t="shared" si="13"/>
        <v/>
      </c>
      <c r="R474" s="3" t="str">
        <f t="shared" si="13"/>
        <v/>
      </c>
      <c r="S474" s="3" t="str">
        <f t="shared" si="13"/>
        <v/>
      </c>
      <c r="T474" s="3" t="str">
        <f t="shared" si="13"/>
        <v/>
      </c>
      <c r="U474" s="3" t="str">
        <f t="shared" si="13"/>
        <v xml:space="preserve">    (, @COURSE_COT_4521),</v>
      </c>
      <c r="V474" s="3" t="str">
        <f t="shared" si="13"/>
        <v/>
      </c>
      <c r="W474" s="3" t="str">
        <f t="shared" si="13"/>
        <v/>
      </c>
      <c r="X474" s="3" t="str">
        <f t="shared" si="13"/>
        <v/>
      </c>
      <c r="Y474" s="3" t="str">
        <f t="shared" si="13"/>
        <v/>
      </c>
      <c r="Z474" s="3" t="str">
        <f t="shared" si="13"/>
        <v/>
      </c>
      <c r="AA474" s="3" t="str">
        <f t="shared" si="13"/>
        <v/>
      </c>
      <c r="AB474" s="3" t="str">
        <f t="shared" si="13"/>
        <v/>
      </c>
      <c r="AC474" s="3" t="str">
        <f t="shared" si="13"/>
        <v/>
      </c>
      <c r="AD474" s="3" t="str">
        <f t="shared" si="13"/>
        <v/>
      </c>
      <c r="AE474" s="3" t="str">
        <f t="shared" si="13"/>
        <v/>
      </c>
      <c r="AF474" s="3" t="str">
        <f t="shared" si="13"/>
        <v/>
      </c>
      <c r="AG474" s="3" t="str">
        <f t="shared" si="13"/>
        <v/>
      </c>
      <c r="AH474" s="3" t="str">
        <f t="shared" si="13"/>
        <v/>
      </c>
      <c r="AI474" s="3" t="str">
        <f t="shared" si="13"/>
        <v/>
      </c>
      <c r="AJ474" s="3" t="str">
        <f t="shared" si="13"/>
        <v/>
      </c>
      <c r="AK474" s="3" t="str">
        <f t="shared" si="13"/>
        <v xml:space="preserve">    (, @COURSE_COP_4710),</v>
      </c>
      <c r="AL474" s="3" t="str">
        <f t="shared" si="13"/>
        <v/>
      </c>
      <c r="AM474" s="3" t="str">
        <f t="shared" si="13"/>
        <v/>
      </c>
      <c r="AN474" s="3" t="str">
        <f t="shared" si="13"/>
        <v/>
      </c>
      <c r="AO474" s="3" t="str">
        <f t="shared" si="13"/>
        <v/>
      </c>
      <c r="AP474" s="3" t="str">
        <f t="shared" si="13"/>
        <v/>
      </c>
      <c r="AQ474" s="3" t="str">
        <f t="shared" si="13"/>
        <v/>
      </c>
      <c r="AR474" s="3" t="str">
        <f t="shared" si="13"/>
        <v/>
      </c>
      <c r="AS474" s="3" t="str">
        <f t="shared" si="13"/>
        <v/>
      </c>
      <c r="AT474" s="3" t="str">
        <f t="shared" si="13"/>
        <v/>
      </c>
      <c r="AU474" s="3" t="str">
        <f t="shared" si="13"/>
        <v/>
      </c>
      <c r="AV474" s="3" t="str">
        <f t="shared" si="13"/>
        <v/>
      </c>
      <c r="AW474" s="3" t="str">
        <f t="shared" si="13"/>
        <v/>
      </c>
      <c r="AX474" s="3" t="str">
        <f t="shared" si="13"/>
        <v/>
      </c>
      <c r="AY474" s="3" t="str">
        <f t="shared" si="13"/>
        <v/>
      </c>
      <c r="AZ474" s="3" t="str">
        <f t="shared" si="13"/>
        <v/>
      </c>
      <c r="BA474" s="3" t="str">
        <f t="shared" si="13"/>
        <v/>
      </c>
      <c r="BB474" s="3" t="str">
        <f t="shared" si="13"/>
        <v/>
      </c>
      <c r="BC474" s="3" t="str">
        <f t="shared" si="13"/>
        <v/>
      </c>
      <c r="BD474" s="3" t="str">
        <f t="shared" si="13"/>
        <v/>
      </c>
      <c r="BE474" s="3" t="str">
        <f t="shared" si="13"/>
        <v/>
      </c>
      <c r="BF474" s="3" t="str">
        <f t="shared" si="13"/>
        <v/>
      </c>
    </row>
    <row r="475" spans="1:58" x14ac:dyDescent="0.3">
      <c r="A475" s="3" t="str">
        <f t="shared" si="13"/>
        <v/>
      </c>
      <c r="B475" s="3" t="str">
        <f t="shared" si="13"/>
        <v/>
      </c>
      <c r="C475" s="3" t="str">
        <f t="shared" si="13"/>
        <v/>
      </c>
      <c r="D475" s="3" t="str">
        <f t="shared" si="13"/>
        <v/>
      </c>
      <c r="E475" s="3" t="str">
        <f t="shared" si="13"/>
        <v/>
      </c>
      <c r="F475" s="3" t="str">
        <f t="shared" si="13"/>
        <v/>
      </c>
      <c r="G475" s="3" t="str">
        <f t="shared" si="13"/>
        <v/>
      </c>
      <c r="H475" s="3" t="str">
        <f t="shared" si="13"/>
        <v/>
      </c>
      <c r="I475" s="3" t="str">
        <f t="shared" si="13"/>
        <v/>
      </c>
      <c r="J475" s="3" t="str">
        <f t="shared" si="13"/>
        <v/>
      </c>
      <c r="K475" s="3" t="str">
        <f t="shared" si="13"/>
        <v/>
      </c>
      <c r="L475" s="3" t="str">
        <f t="shared" si="13"/>
        <v/>
      </c>
      <c r="M475" s="3" t="str">
        <f t="shared" si="13"/>
        <v/>
      </c>
      <c r="N475" s="3" t="str">
        <f t="shared" si="13"/>
        <v/>
      </c>
      <c r="O475" s="3" t="str">
        <f t="shared" si="13"/>
        <v/>
      </c>
      <c r="P475" s="3" t="str">
        <f t="shared" si="13"/>
        <v/>
      </c>
      <c r="Q475" s="3" t="str">
        <f t="shared" si="13"/>
        <v/>
      </c>
      <c r="R475" s="3" t="str">
        <f t="shared" si="13"/>
        <v/>
      </c>
      <c r="S475" s="3" t="str">
        <f t="shared" si="13"/>
        <v/>
      </c>
      <c r="T475" s="3" t="str">
        <f t="shared" si="13"/>
        <v/>
      </c>
      <c r="U475" s="3" t="str">
        <f t="shared" si="13"/>
        <v xml:space="preserve">    (, @COURSE_COT_4601),</v>
      </c>
      <c r="V475" s="3" t="str">
        <f t="shared" si="13"/>
        <v/>
      </c>
      <c r="W475" s="3" t="str">
        <f t="shared" si="13"/>
        <v/>
      </c>
      <c r="X475" s="3" t="str">
        <f t="shared" si="13"/>
        <v/>
      </c>
      <c r="Y475" s="3" t="str">
        <f t="shared" si="13"/>
        <v/>
      </c>
      <c r="Z475" s="3" t="str">
        <f t="shared" si="13"/>
        <v/>
      </c>
      <c r="AA475" s="3" t="str">
        <f t="shared" si="13"/>
        <v/>
      </c>
      <c r="AB475" s="3" t="str">
        <f t="shared" si="13"/>
        <v/>
      </c>
      <c r="AC475" s="3" t="str">
        <f t="shared" si="13"/>
        <v/>
      </c>
      <c r="AD475" s="3" t="str">
        <f t="shared" si="13"/>
        <v/>
      </c>
      <c r="AE475" s="3" t="str">
        <f t="shared" si="13"/>
        <v/>
      </c>
      <c r="AF475" s="3" t="str">
        <f t="shared" si="13"/>
        <v/>
      </c>
      <c r="AG475" s="3" t="str">
        <f t="shared" si="13"/>
        <v/>
      </c>
      <c r="AH475" s="3" t="str">
        <f t="shared" si="13"/>
        <v/>
      </c>
      <c r="AI475" s="3" t="str">
        <f t="shared" si="13"/>
        <v/>
      </c>
      <c r="AJ475" s="3" t="str">
        <f t="shared" si="13"/>
        <v/>
      </c>
      <c r="AK475" s="3" t="str">
        <f t="shared" si="13"/>
        <v xml:space="preserve">    (, @COURSE_COT_4210),</v>
      </c>
      <c r="AL475" s="3" t="str">
        <f t="shared" si="13"/>
        <v/>
      </c>
      <c r="AM475" s="3" t="str">
        <f t="shared" si="13"/>
        <v/>
      </c>
      <c r="AN475" s="3" t="str">
        <f t="shared" si="13"/>
        <v/>
      </c>
      <c r="AO475" s="3" t="str">
        <f t="shared" si="13"/>
        <v/>
      </c>
      <c r="AP475" s="3" t="str">
        <f t="shared" si="13"/>
        <v/>
      </c>
      <c r="AQ475" s="3" t="str">
        <f t="shared" si="13"/>
        <v/>
      </c>
      <c r="AR475" s="3" t="str">
        <f t="shared" si="13"/>
        <v/>
      </c>
      <c r="AS475" s="3" t="str">
        <f t="shared" si="13"/>
        <v/>
      </c>
      <c r="AT475" s="3" t="str">
        <f t="shared" si="13"/>
        <v/>
      </c>
      <c r="AU475" s="3" t="str">
        <f t="shared" si="13"/>
        <v/>
      </c>
      <c r="AV475" s="3" t="str">
        <f t="shared" si="13"/>
        <v/>
      </c>
      <c r="AW475" s="3" t="str">
        <f t="shared" si="13"/>
        <v/>
      </c>
      <c r="AX475" s="3" t="str">
        <f t="shared" si="13"/>
        <v/>
      </c>
      <c r="AY475" s="3" t="str">
        <f t="shared" si="13"/>
        <v/>
      </c>
      <c r="AZ475" s="3" t="str">
        <f t="shared" si="13"/>
        <v/>
      </c>
      <c r="BA475" s="3" t="str">
        <f t="shared" si="13"/>
        <v/>
      </c>
      <c r="BB475" s="3" t="str">
        <f t="shared" si="13"/>
        <v/>
      </c>
      <c r="BC475" s="3" t="str">
        <f t="shared" si="13"/>
        <v/>
      </c>
      <c r="BD475" s="3" t="str">
        <f t="shared" si="13"/>
        <v/>
      </c>
      <c r="BE475" s="3" t="str">
        <f t="shared" si="13"/>
        <v/>
      </c>
      <c r="BF475" s="3" t="str">
        <f t="shared" si="13"/>
        <v/>
      </c>
    </row>
    <row r="476" spans="1:58" x14ac:dyDescent="0.3">
      <c r="A476" s="3" t="str">
        <f t="shared" si="13"/>
        <v/>
      </c>
      <c r="B476" s="3" t="str">
        <f t="shared" si="13"/>
        <v/>
      </c>
      <c r="C476" s="3" t="str">
        <f t="shared" si="13"/>
        <v/>
      </c>
      <c r="D476" s="3" t="str">
        <f t="shared" si="13"/>
        <v/>
      </c>
      <c r="E476" s="3" t="str">
        <f t="shared" si="13"/>
        <v/>
      </c>
      <c r="F476" s="3" t="str">
        <f t="shared" si="13"/>
        <v/>
      </c>
      <c r="G476" s="3" t="str">
        <f t="shared" si="13"/>
        <v/>
      </c>
      <c r="H476" s="3" t="str">
        <f t="shared" si="13"/>
        <v/>
      </c>
      <c r="I476" s="3" t="str">
        <f t="shared" si="13"/>
        <v/>
      </c>
      <c r="J476" s="3" t="str">
        <f t="shared" si="13"/>
        <v/>
      </c>
      <c r="K476" s="3" t="str">
        <f t="shared" si="13"/>
        <v/>
      </c>
      <c r="L476" s="3" t="str">
        <f t="shared" si="13"/>
        <v/>
      </c>
      <c r="M476" s="3" t="str">
        <f t="shared" si="13"/>
        <v/>
      </c>
      <c r="N476" s="3" t="str">
        <f t="shared" si="13"/>
        <v/>
      </c>
      <c r="O476" s="3" t="str">
        <f t="shared" si="13"/>
        <v/>
      </c>
      <c r="P476" s="3" t="str">
        <f t="shared" si="13"/>
        <v/>
      </c>
      <c r="Q476" s="3" t="str">
        <f t="shared" si="13"/>
        <v/>
      </c>
      <c r="R476" s="3" t="str">
        <f t="shared" si="13"/>
        <v/>
      </c>
      <c r="S476" s="3" t="str">
        <f t="shared" si="13"/>
        <v/>
      </c>
      <c r="T476" s="3" t="str">
        <f t="shared" si="13"/>
        <v/>
      </c>
      <c r="U476" s="3" t="str">
        <f t="shared" si="13"/>
        <v/>
      </c>
      <c r="V476" s="3" t="str">
        <f t="shared" si="13"/>
        <v/>
      </c>
      <c r="W476" s="3" t="str">
        <f t="shared" si="13"/>
        <v/>
      </c>
      <c r="X476" s="3" t="str">
        <f t="shared" si="13"/>
        <v/>
      </c>
      <c r="Y476" s="3" t="str">
        <f t="shared" si="13"/>
        <v/>
      </c>
      <c r="Z476" s="3" t="str">
        <f t="shared" si="13"/>
        <v/>
      </c>
      <c r="AA476" s="3" t="str">
        <f t="shared" si="13"/>
        <v/>
      </c>
      <c r="AB476" s="3" t="str">
        <f t="shared" si="13"/>
        <v/>
      </c>
      <c r="AC476" s="3" t="str">
        <f t="shared" si="13"/>
        <v/>
      </c>
      <c r="AD476" s="3" t="str">
        <f t="shared" si="13"/>
        <v/>
      </c>
      <c r="AE476" s="3" t="str">
        <f t="shared" si="13"/>
        <v/>
      </c>
      <c r="AF476" s="3" t="str">
        <f t="shared" si="13"/>
        <v/>
      </c>
      <c r="AG476" s="3" t="str">
        <f t="shared" si="13"/>
        <v/>
      </c>
      <c r="AH476" s="3" t="str">
        <f t="shared" si="13"/>
        <v/>
      </c>
      <c r="AI476" s="3" t="str">
        <f t="shared" si="13"/>
        <v/>
      </c>
      <c r="AJ476" s="3" t="str">
        <f t="shared" si="13"/>
        <v/>
      </c>
      <c r="AK476" s="3" t="str">
        <f t="shared" si="13"/>
        <v xml:space="preserve">    (, @COURSE_COT_4521),</v>
      </c>
      <c r="AL476" s="3" t="str">
        <f t="shared" si="13"/>
        <v/>
      </c>
      <c r="AM476" s="3" t="str">
        <f t="shared" si="13"/>
        <v/>
      </c>
      <c r="AN476" s="3" t="str">
        <f t="shared" si="13"/>
        <v/>
      </c>
      <c r="AO476" s="3" t="str">
        <f t="shared" si="13"/>
        <v/>
      </c>
      <c r="AP476" s="3" t="str">
        <f t="shared" si="13"/>
        <v/>
      </c>
      <c r="AQ476" s="3" t="str">
        <f t="shared" si="13"/>
        <v/>
      </c>
      <c r="AR476" s="3" t="str">
        <f t="shared" si="13"/>
        <v/>
      </c>
      <c r="AS476" s="3" t="str">
        <f t="shared" si="13"/>
        <v/>
      </c>
      <c r="AT476" s="3" t="str">
        <f t="shared" si="13"/>
        <v/>
      </c>
      <c r="AU476" s="3" t="str">
        <f t="shared" si="13"/>
        <v/>
      </c>
      <c r="AV476" s="3" t="str">
        <f t="shared" si="13"/>
        <v/>
      </c>
      <c r="AW476" s="3" t="str">
        <f t="shared" si="13"/>
        <v/>
      </c>
      <c r="AX476" s="3" t="str">
        <f t="shared" si="13"/>
        <v/>
      </c>
      <c r="AY476" s="3" t="str">
        <f t="shared" si="13"/>
        <v/>
      </c>
      <c r="AZ476" s="3" t="str">
        <f t="shared" si="13"/>
        <v/>
      </c>
      <c r="BA476" s="3" t="str">
        <f t="shared" si="13"/>
        <v/>
      </c>
      <c r="BB476" s="3" t="str">
        <f t="shared" si="13"/>
        <v/>
      </c>
      <c r="BC476" s="3" t="str">
        <f t="shared" si="13"/>
        <v/>
      </c>
      <c r="BD476" s="3" t="str">
        <f t="shared" si="13"/>
        <v/>
      </c>
      <c r="BE476" s="3" t="str">
        <f t="shared" si="13"/>
        <v/>
      </c>
      <c r="BF476" s="3" t="str">
        <f t="shared" si="13"/>
        <v/>
      </c>
    </row>
    <row r="477" spans="1:58" x14ac:dyDescent="0.3">
      <c r="A477" s="3" t="str">
        <f t="shared" si="13"/>
        <v/>
      </c>
      <c r="B477" s="3" t="str">
        <f t="shared" si="13"/>
        <v/>
      </c>
      <c r="C477" s="3" t="str">
        <f t="shared" si="13"/>
        <v/>
      </c>
      <c r="D477" s="3" t="str">
        <f t="shared" si="13"/>
        <v/>
      </c>
      <c r="E477" s="3" t="str">
        <f t="shared" si="13"/>
        <v/>
      </c>
      <c r="F477" s="3" t="str">
        <f t="shared" si="13"/>
        <v/>
      </c>
      <c r="G477" s="3" t="str">
        <f t="shared" si="13"/>
        <v/>
      </c>
      <c r="H477" s="3" t="str">
        <f t="shared" si="13"/>
        <v/>
      </c>
      <c r="I477" s="3" t="str">
        <f t="shared" si="13"/>
        <v/>
      </c>
      <c r="J477" s="3" t="str">
        <f t="shared" si="13"/>
        <v/>
      </c>
      <c r="K477" s="3" t="str">
        <f t="shared" si="13"/>
        <v/>
      </c>
      <c r="L477" s="3" t="str">
        <f t="shared" si="13"/>
        <v/>
      </c>
      <c r="M477" s="3" t="str">
        <f t="shared" si="13"/>
        <v/>
      </c>
      <c r="N477" s="3" t="str">
        <f t="shared" si="13"/>
        <v/>
      </c>
      <c r="O477" s="3" t="str">
        <f t="shared" si="13"/>
        <v/>
      </c>
      <c r="P477" s="3" t="str">
        <f t="shared" si="13"/>
        <v/>
      </c>
      <c r="Q477" s="3" t="str">
        <f t="shared" si="13"/>
        <v/>
      </c>
      <c r="R477" s="3" t="str">
        <f t="shared" si="13"/>
        <v/>
      </c>
      <c r="S477" s="3" t="str">
        <f t="shared" si="13"/>
        <v/>
      </c>
      <c r="T477" s="3" t="str">
        <f t="shared" si="13"/>
        <v/>
      </c>
      <c r="U477" s="3" t="str">
        <f t="shared" si="13"/>
        <v/>
      </c>
      <c r="V477" s="3" t="str">
        <f t="shared" si="13"/>
        <v/>
      </c>
      <c r="W477" s="3" t="str">
        <f t="shared" si="13"/>
        <v/>
      </c>
      <c r="X477" s="3" t="str">
        <f t="shared" ref="X477:BF477" si="14">IF(X438 &lt;&gt; "", "    (" &amp; MID(X$1, 5, 100) &amp; ", @COURSE_" &amp; MID(X438, 1, 3) &amp; "_" &amp; MID(X438, 5, 10) &amp; "),", "")</f>
        <v/>
      </c>
      <c r="Y477" s="3" t="str">
        <f t="shared" si="14"/>
        <v/>
      </c>
      <c r="Z477" s="3" t="str">
        <f t="shared" si="14"/>
        <v/>
      </c>
      <c r="AA477" s="3" t="str">
        <f t="shared" si="14"/>
        <v/>
      </c>
      <c r="AB477" s="3" t="str">
        <f t="shared" si="14"/>
        <v/>
      </c>
      <c r="AC477" s="3" t="str">
        <f t="shared" si="14"/>
        <v/>
      </c>
      <c r="AD477" s="3" t="str">
        <f t="shared" si="14"/>
        <v/>
      </c>
      <c r="AE477" s="3" t="str">
        <f t="shared" si="14"/>
        <v/>
      </c>
      <c r="AF477" s="3" t="str">
        <f t="shared" si="14"/>
        <v/>
      </c>
      <c r="AG477" s="3" t="str">
        <f t="shared" si="14"/>
        <v/>
      </c>
      <c r="AH477" s="3" t="str">
        <f t="shared" si="14"/>
        <v/>
      </c>
      <c r="AI477" s="3" t="str">
        <f t="shared" si="14"/>
        <v/>
      </c>
      <c r="AJ477" s="3" t="str">
        <f t="shared" si="14"/>
        <v/>
      </c>
      <c r="AK477" s="3" t="str">
        <f t="shared" si="14"/>
        <v xml:space="preserve">    (, @COURSE_COT_4601),</v>
      </c>
      <c r="AL477" s="3" t="str">
        <f t="shared" si="14"/>
        <v/>
      </c>
      <c r="AM477" s="3" t="str">
        <f t="shared" si="14"/>
        <v/>
      </c>
      <c r="AN477" s="3" t="str">
        <f t="shared" si="14"/>
        <v/>
      </c>
      <c r="AO477" s="3" t="str">
        <f t="shared" si="14"/>
        <v/>
      </c>
      <c r="AP477" s="3" t="str">
        <f t="shared" si="14"/>
        <v/>
      </c>
      <c r="AQ477" s="3" t="str">
        <f t="shared" si="14"/>
        <v/>
      </c>
      <c r="AR477" s="3" t="str">
        <f t="shared" si="14"/>
        <v/>
      </c>
      <c r="AS477" s="3" t="str">
        <f t="shared" si="14"/>
        <v/>
      </c>
      <c r="AT477" s="3" t="str">
        <f t="shared" si="14"/>
        <v/>
      </c>
      <c r="AU477" s="3" t="str">
        <f t="shared" si="14"/>
        <v/>
      </c>
      <c r="AV477" s="3" t="str">
        <f t="shared" si="14"/>
        <v/>
      </c>
      <c r="AW477" s="3" t="str">
        <f t="shared" si="14"/>
        <v/>
      </c>
      <c r="AX477" s="3" t="str">
        <f t="shared" si="14"/>
        <v/>
      </c>
      <c r="AY477" s="3" t="str">
        <f t="shared" si="14"/>
        <v/>
      </c>
      <c r="AZ477" s="3" t="str">
        <f t="shared" si="14"/>
        <v/>
      </c>
      <c r="BA477" s="3" t="str">
        <f t="shared" si="14"/>
        <v/>
      </c>
      <c r="BB477" s="3" t="str">
        <f t="shared" si="14"/>
        <v/>
      </c>
      <c r="BC477" s="3" t="str">
        <f t="shared" si="14"/>
        <v/>
      </c>
      <c r="BD477" s="3" t="str">
        <f t="shared" si="14"/>
        <v/>
      </c>
      <c r="BE477" s="3" t="str">
        <f t="shared" si="14"/>
        <v/>
      </c>
      <c r="BF477" s="3" t="str">
        <f t="shared" si="14"/>
        <v/>
      </c>
    </row>
    <row r="478" spans="1:58" x14ac:dyDescent="0.3">
      <c r="A478" s="3" t="str">
        <f t="shared" ref="A478:BF479" si="15">IF(A439 &lt;&gt; "", "    (" &amp; MID(A$1, 5, 100) &amp; ", @COURSE_" &amp; MID(A439, 1, 3) &amp; "_" &amp; MID(A439, 5, 10) &amp; "),", "")</f>
        <v/>
      </c>
      <c r="B478" s="3" t="str">
        <f t="shared" si="15"/>
        <v/>
      </c>
      <c r="C478" s="3" t="str">
        <f t="shared" si="15"/>
        <v/>
      </c>
      <c r="D478" s="3" t="str">
        <f t="shared" si="15"/>
        <v/>
      </c>
      <c r="E478" s="3" t="str">
        <f t="shared" si="15"/>
        <v/>
      </c>
      <c r="F478" s="3" t="str">
        <f t="shared" si="15"/>
        <v/>
      </c>
      <c r="G478" s="3" t="str">
        <f t="shared" si="15"/>
        <v/>
      </c>
      <c r="H478" s="3" t="str">
        <f t="shared" si="15"/>
        <v/>
      </c>
      <c r="I478" s="3" t="str">
        <f t="shared" si="15"/>
        <v/>
      </c>
      <c r="J478" s="3" t="str">
        <f t="shared" si="15"/>
        <v/>
      </c>
      <c r="K478" s="3" t="str">
        <f t="shared" si="15"/>
        <v/>
      </c>
      <c r="L478" s="3" t="str">
        <f t="shared" si="15"/>
        <v/>
      </c>
      <c r="M478" s="3" t="str">
        <f t="shared" si="15"/>
        <v/>
      </c>
      <c r="N478" s="3" t="str">
        <f t="shared" si="15"/>
        <v/>
      </c>
      <c r="O478" s="3" t="str">
        <f t="shared" si="15"/>
        <v/>
      </c>
      <c r="P478" s="3" t="str">
        <f t="shared" si="15"/>
        <v/>
      </c>
      <c r="Q478" s="3" t="str">
        <f t="shared" si="15"/>
        <v/>
      </c>
      <c r="R478" s="3" t="str">
        <f t="shared" si="15"/>
        <v/>
      </c>
      <c r="S478" s="3" t="str">
        <f t="shared" si="15"/>
        <v/>
      </c>
      <c r="T478" s="3" t="str">
        <f t="shared" si="15"/>
        <v/>
      </c>
      <c r="U478" s="3" t="str">
        <f t="shared" si="15"/>
        <v/>
      </c>
      <c r="V478" s="3" t="str">
        <f t="shared" si="15"/>
        <v/>
      </c>
      <c r="W478" s="3" t="str">
        <f t="shared" si="15"/>
        <v/>
      </c>
      <c r="X478" s="3" t="str">
        <f t="shared" si="15"/>
        <v/>
      </c>
      <c r="Y478" s="3" t="str">
        <f t="shared" si="15"/>
        <v/>
      </c>
      <c r="Z478" s="3" t="str">
        <f t="shared" si="15"/>
        <v/>
      </c>
      <c r="AA478" s="3" t="str">
        <f t="shared" si="15"/>
        <v/>
      </c>
      <c r="AB478" s="3" t="str">
        <f t="shared" si="15"/>
        <v/>
      </c>
      <c r="AC478" s="3" t="str">
        <f t="shared" si="15"/>
        <v/>
      </c>
      <c r="AD478" s="3" t="str">
        <f t="shared" si="15"/>
        <v/>
      </c>
      <c r="AE478" s="3" t="str">
        <f t="shared" si="15"/>
        <v/>
      </c>
      <c r="AF478" s="3" t="str">
        <f t="shared" si="15"/>
        <v/>
      </c>
      <c r="AG478" s="3" t="str">
        <f t="shared" si="15"/>
        <v/>
      </c>
      <c r="AH478" s="3" t="str">
        <f t="shared" si="15"/>
        <v/>
      </c>
      <c r="AI478" s="3" t="str">
        <f t="shared" si="15"/>
        <v/>
      </c>
      <c r="AJ478" s="3" t="str">
        <f t="shared" si="15"/>
        <v/>
      </c>
      <c r="AK478" s="3" t="str">
        <f t="shared" si="15"/>
        <v/>
      </c>
      <c r="AL478" s="3" t="str">
        <f t="shared" si="15"/>
        <v/>
      </c>
      <c r="AM478" s="3" t="str">
        <f t="shared" si="15"/>
        <v/>
      </c>
      <c r="AN478" s="3" t="str">
        <f t="shared" si="15"/>
        <v/>
      </c>
      <c r="AO478" s="3" t="str">
        <f t="shared" si="15"/>
        <v/>
      </c>
      <c r="AP478" s="3" t="str">
        <f t="shared" si="15"/>
        <v/>
      </c>
      <c r="AQ478" s="3" t="str">
        <f t="shared" si="15"/>
        <v/>
      </c>
      <c r="AR478" s="3" t="str">
        <f t="shared" si="15"/>
        <v/>
      </c>
      <c r="AS478" s="3" t="str">
        <f t="shared" si="15"/>
        <v/>
      </c>
      <c r="AT478" s="3" t="str">
        <f t="shared" si="15"/>
        <v/>
      </c>
      <c r="AU478" s="3" t="str">
        <f t="shared" si="15"/>
        <v/>
      </c>
      <c r="AV478" s="3" t="str">
        <f t="shared" si="15"/>
        <v/>
      </c>
      <c r="AW478" s="3" t="str">
        <f t="shared" si="15"/>
        <v/>
      </c>
      <c r="AX478" s="3" t="str">
        <f t="shared" si="15"/>
        <v/>
      </c>
      <c r="AY478" s="3" t="str">
        <f t="shared" si="15"/>
        <v/>
      </c>
      <c r="AZ478" s="3" t="str">
        <f t="shared" si="15"/>
        <v/>
      </c>
      <c r="BA478" s="3" t="str">
        <f t="shared" si="15"/>
        <v/>
      </c>
      <c r="BB478" s="3" t="str">
        <f t="shared" si="15"/>
        <v/>
      </c>
      <c r="BC478" s="3" t="str">
        <f t="shared" si="15"/>
        <v/>
      </c>
      <c r="BD478" s="3" t="str">
        <f t="shared" si="15"/>
        <v/>
      </c>
      <c r="BE478" s="3" t="str">
        <f t="shared" si="15"/>
        <v/>
      </c>
      <c r="BF478" s="3" t="str">
        <f t="shared" si="15"/>
        <v/>
      </c>
    </row>
    <row r="479" spans="1:58" x14ac:dyDescent="0.3">
      <c r="A479" s="3" t="str">
        <f t="shared" si="15"/>
        <v xml:space="preserve">    (, @COURSE_   _(, @COURSE),</v>
      </c>
      <c r="B479" s="3" t="str">
        <f t="shared" si="15"/>
        <v xml:space="preserve">    (, @COURSE_   _(, @COURSE),</v>
      </c>
      <c r="C479" s="3" t="str">
        <f t="shared" si="15"/>
        <v xml:space="preserve">    (, @COURSE_   _(, @COURSE),</v>
      </c>
      <c r="D479" s="3" t="str">
        <f t="shared" si="15"/>
        <v xml:space="preserve">    (, @COURSE_   _(, @COURSE),</v>
      </c>
      <c r="E479" s="3" t="str">
        <f t="shared" si="15"/>
        <v xml:space="preserve">    (, @COURSE_   _(, @COURSE),</v>
      </c>
      <c r="F479" s="3" t="str">
        <f t="shared" si="15"/>
        <v xml:space="preserve">    (, @COURSE_   _(, @COURSE),</v>
      </c>
      <c r="G479" s="3" t="str">
        <f t="shared" si="15"/>
        <v xml:space="preserve">    (, @COURSE_   _(, @COURSE),</v>
      </c>
      <c r="H479" s="3" t="str">
        <f t="shared" si="15"/>
        <v xml:space="preserve">    (p, @COURSE_   _(p, @COURS),</v>
      </c>
      <c r="I479" s="3" t="str">
        <f t="shared" si="15"/>
        <v xml:space="preserve">    (se, @COURSE_   _(se, @COUR),</v>
      </c>
      <c r="J479" s="3" t="str">
        <f t="shared" si="15"/>
        <v xml:space="preserve">    (, @COURSE_   _(, @COURSE),</v>
      </c>
      <c r="K479" s="3" t="str">
        <f t="shared" si="15"/>
        <v/>
      </c>
      <c r="L479" s="3" t="str">
        <f t="shared" si="15"/>
        <v xml:space="preserve">    (, @COURSE_   _(, @COURSE),</v>
      </c>
      <c r="M479" s="3" t="str">
        <f t="shared" si="15"/>
        <v xml:space="preserve">    (, @COURSE_   _(, @COURSE),</v>
      </c>
      <c r="N479" s="3" t="str">
        <f t="shared" si="15"/>
        <v xml:space="preserve">    (, @COURSE_   _(, @COURSE),</v>
      </c>
      <c r="O479" s="3" t="str">
        <f t="shared" si="15"/>
        <v xml:space="preserve">    (, @COURSE_   _(, @COURSE),</v>
      </c>
      <c r="P479" s="3" t="str">
        <f t="shared" si="15"/>
        <v xml:space="preserve">    (, @COURSE_   _(, @COURSE),</v>
      </c>
      <c r="Q479" s="3" t="str">
        <f t="shared" si="15"/>
        <v xml:space="preserve">    (, @COURSE_   _(, @COURSE),</v>
      </c>
      <c r="R479" s="3" t="str">
        <f t="shared" si="15"/>
        <v xml:space="preserve">    (, @COURSE_   _(, @COURSE),</v>
      </c>
      <c r="S479" s="3" t="str">
        <f t="shared" si="15"/>
        <v xml:space="preserve">    (, @COURSE_   _(, @COURSE),</v>
      </c>
      <c r="T479" s="3" t="str">
        <f t="shared" si="15"/>
        <v xml:space="preserve">    (, @COURSE_   _(, @COURSE),</v>
      </c>
      <c r="U479" s="3" t="str">
        <f t="shared" si="15"/>
        <v xml:space="preserve">    (, @COURSE_   _(, @COURSE),</v>
      </c>
      <c r="V479" s="3" t="str">
        <f t="shared" si="15"/>
        <v/>
      </c>
      <c r="W479" s="3" t="str">
        <f t="shared" si="15"/>
        <v xml:space="preserve">    (, @COURSE_   _(, @COURSE),</v>
      </c>
      <c r="X479" s="3" t="str">
        <f t="shared" si="15"/>
        <v xml:space="preserve">    (, @COURSE_   _(, @COURSE),</v>
      </c>
      <c r="Y479" s="3" t="str">
        <f t="shared" si="15"/>
        <v xml:space="preserve">    (, @COURSE_   _(, @COURSE),</v>
      </c>
      <c r="Z479" s="3" t="str">
        <f t="shared" si="15"/>
        <v xml:space="preserve">    (, @COURSE_   _(, @COURSE),</v>
      </c>
      <c r="AA479" s="3" t="str">
        <f t="shared" si="15"/>
        <v xml:space="preserve">    (, @COURSE_   _(, @COURSE),</v>
      </c>
      <c r="AB479" s="3" t="str">
        <f t="shared" si="15"/>
        <v xml:space="preserve">    (, @COURSE_   _(, @COURSE),</v>
      </c>
      <c r="AC479" s="3" t="str">
        <f t="shared" si="15"/>
        <v/>
      </c>
      <c r="AD479" s="3" t="str">
        <f t="shared" si="15"/>
        <v xml:space="preserve">    (, @COURSE_   _(, @COURSE),</v>
      </c>
      <c r="AE479" s="3" t="str">
        <f t="shared" si="15"/>
        <v xml:space="preserve">    (, @COURSE_   _(, @COURSE),</v>
      </c>
      <c r="AF479" s="3" t="str">
        <f t="shared" si="15"/>
        <v xml:space="preserve">    (, @COURSE_   _(, @COURSE),</v>
      </c>
      <c r="AG479" s="3" t="str">
        <f t="shared" si="15"/>
        <v xml:space="preserve">    (, @COURSE_   _(, @COURSE),</v>
      </c>
      <c r="AH479" s="3" t="str">
        <f t="shared" si="15"/>
        <v xml:space="preserve">    (, @COURSE_   _(, @COURSE),</v>
      </c>
      <c r="AI479" s="3" t="str">
        <f t="shared" si="15"/>
        <v xml:space="preserve">    (, @COURSE_   _(, @COURSE),</v>
      </c>
      <c r="AJ479" s="3" t="str">
        <f t="shared" si="15"/>
        <v xml:space="preserve">    (, @COURSE_   _(, @COURSE),</v>
      </c>
      <c r="AK479" s="3" t="str">
        <f t="shared" si="15"/>
        <v xml:space="preserve">    (, @COURSE_   _(, @COURSE),</v>
      </c>
      <c r="AL479" s="3" t="str">
        <f t="shared" si="15"/>
        <v/>
      </c>
      <c r="AM479" s="3" t="str">
        <f t="shared" si="15"/>
        <v xml:space="preserve">    (, @COURSE_   _(, @COURSE),</v>
      </c>
      <c r="AN479" s="3" t="str">
        <f t="shared" si="15"/>
        <v xml:space="preserve">    (, @COURSE_   _(, @COURSE),</v>
      </c>
      <c r="AO479" s="3" t="str">
        <f t="shared" si="15"/>
        <v xml:space="preserve">    (, @COURSE_   _(, @COURSE),</v>
      </c>
      <c r="AP479" s="3" t="str">
        <f t="shared" si="15"/>
        <v/>
      </c>
      <c r="AQ479" s="3" t="str">
        <f t="shared" si="15"/>
        <v xml:space="preserve">    (, @COURSE_   _(, @COURSE),</v>
      </c>
      <c r="AR479" s="3" t="str">
        <f t="shared" si="15"/>
        <v xml:space="preserve">    (, @COURSE_   _(, @COURSE),</v>
      </c>
      <c r="AS479" s="3" t="str">
        <f t="shared" si="15"/>
        <v xml:space="preserve">    (, @COURSE_   _(, @COURSE),</v>
      </c>
      <c r="AT479" s="3" t="str">
        <f t="shared" si="15"/>
        <v/>
      </c>
      <c r="AU479" s="3" t="str">
        <f t="shared" si="15"/>
        <v xml:space="preserve">    (, @COURSE_   _(, @COURSE),</v>
      </c>
      <c r="AV479" s="3" t="str">
        <f t="shared" si="15"/>
        <v xml:space="preserve">    (, @COURSE_   _(, @COURSE),</v>
      </c>
      <c r="AW479" s="3" t="str">
        <f t="shared" si="15"/>
        <v xml:space="preserve">    (, @COURSE_   _(, @COURSE),</v>
      </c>
      <c r="AX479" s="3" t="str">
        <f t="shared" si="15"/>
        <v xml:space="preserve">    (, @COURSE_   _(, @COURSE),</v>
      </c>
      <c r="AY479" s="3" t="str">
        <f t="shared" si="15"/>
        <v/>
      </c>
      <c r="AZ479" s="3" t="str">
        <f t="shared" si="15"/>
        <v xml:space="preserve">    (, @COURSE_   _(, @COURSE),</v>
      </c>
      <c r="BA479" s="3" t="str">
        <f t="shared" si="15"/>
        <v xml:space="preserve">    (, @COURSE_   _(, @COURSE),</v>
      </c>
      <c r="BB479" s="3" t="str">
        <f t="shared" si="15"/>
        <v/>
      </c>
      <c r="BC479" s="3" t="str">
        <f t="shared" si="15"/>
        <v xml:space="preserve">    (, @COURSE_   _(, @COURSE),</v>
      </c>
      <c r="BD479" s="3" t="str">
        <f t="shared" si="15"/>
        <v/>
      </c>
      <c r="BE479" s="3" t="str">
        <f t="shared" si="15"/>
        <v/>
      </c>
      <c r="BF479" s="3" t="str">
        <f t="shared" si="15"/>
        <v/>
      </c>
    </row>
    <row r="499" spans="1:58" x14ac:dyDescent="0.3">
      <c r="A499" s="3" t="s">
        <v>1281</v>
      </c>
      <c r="B499" s="3" t="s">
        <v>1282</v>
      </c>
      <c r="C499" s="3" t="s">
        <v>1283</v>
      </c>
      <c r="D499" s="3" t="s">
        <v>1284</v>
      </c>
      <c r="E499" s="3" t="s">
        <v>1285</v>
      </c>
      <c r="F499" s="3" t="s">
        <v>1286</v>
      </c>
      <c r="G499" s="3" t="s">
        <v>1287</v>
      </c>
      <c r="H499" s="3" t="s">
        <v>1288</v>
      </c>
      <c r="I499" s="3" t="s">
        <v>1289</v>
      </c>
      <c r="J499" s="3" t="s">
        <v>1290</v>
      </c>
      <c r="K499" s="3" t="s">
        <v>1291</v>
      </c>
      <c r="L499" s="3" t="s">
        <v>1292</v>
      </c>
      <c r="M499" s="3" t="s">
        <v>1293</v>
      </c>
      <c r="N499" s="3" t="s">
        <v>1294</v>
      </c>
      <c r="O499" s="3" t="s">
        <v>1295</v>
      </c>
      <c r="P499" s="3" t="s">
        <v>1296</v>
      </c>
      <c r="Q499" s="3" t="s">
        <v>1297</v>
      </c>
      <c r="R499" s="3" t="s">
        <v>1298</v>
      </c>
      <c r="S499" s="3" t="s">
        <v>1299</v>
      </c>
      <c r="T499" s="3" t="s">
        <v>1300</v>
      </c>
      <c r="U499" s="3" t="s">
        <v>1301</v>
      </c>
      <c r="V499" s="3" t="s">
        <v>1291</v>
      </c>
      <c r="W499" s="3" t="s">
        <v>1302</v>
      </c>
      <c r="X499" s="3" t="s">
        <v>1303</v>
      </c>
      <c r="Y499" s="3" t="s">
        <v>1304</v>
      </c>
      <c r="Z499" s="3" t="s">
        <v>1305</v>
      </c>
      <c r="AA499" s="3" t="s">
        <v>1306</v>
      </c>
      <c r="AB499" s="3" t="s">
        <v>1307</v>
      </c>
      <c r="AC499" s="3" t="s">
        <v>1291</v>
      </c>
      <c r="AD499" s="3" t="s">
        <v>1308</v>
      </c>
      <c r="AE499" s="3" t="s">
        <v>1309</v>
      </c>
      <c r="AF499" s="3" t="s">
        <v>1310</v>
      </c>
      <c r="AG499" s="3" t="s">
        <v>1311</v>
      </c>
      <c r="AH499" s="3" t="s">
        <v>1312</v>
      </c>
      <c r="AI499" s="3" t="s">
        <v>1313</v>
      </c>
      <c r="AJ499" s="3" t="s">
        <v>1314</v>
      </c>
      <c r="AK499" s="3" t="s">
        <v>1315</v>
      </c>
      <c r="AL499" s="3" t="s">
        <v>1291</v>
      </c>
      <c r="AM499" s="3" t="s">
        <v>1316</v>
      </c>
      <c r="AN499" s="3" t="s">
        <v>1317</v>
      </c>
      <c r="AO499" s="3" t="s">
        <v>1318</v>
      </c>
      <c r="AP499" s="3" t="s">
        <v>1291</v>
      </c>
      <c r="AQ499" s="3" t="s">
        <v>1319</v>
      </c>
      <c r="AR499" s="3" t="s">
        <v>1320</v>
      </c>
      <c r="AS499" s="3" t="s">
        <v>1321</v>
      </c>
      <c r="AT499" s="3" t="s">
        <v>1291</v>
      </c>
      <c r="AU499" s="3" t="s">
        <v>1322</v>
      </c>
      <c r="AV499" s="3" t="s">
        <v>1323</v>
      </c>
      <c r="AW499" s="3" t="s">
        <v>1324</v>
      </c>
      <c r="AX499" s="3" t="s">
        <v>1325</v>
      </c>
      <c r="AY499" s="3" t="s">
        <v>1291</v>
      </c>
      <c r="AZ499" s="3" t="s">
        <v>1326</v>
      </c>
      <c r="BA499" s="3" t="s">
        <v>1327</v>
      </c>
      <c r="BB499" s="3" t="s">
        <v>1291</v>
      </c>
      <c r="BC499" s="3" t="s">
        <v>1328</v>
      </c>
      <c r="BD499" s="3" t="s">
        <v>1291</v>
      </c>
      <c r="BE499" s="3" t="s">
        <v>1291</v>
      </c>
      <c r="BF499" s="3" t="s">
        <v>1291</v>
      </c>
    </row>
    <row r="500" spans="1:58" x14ac:dyDescent="0.3">
      <c r="A500" s="3" t="s">
        <v>1329</v>
      </c>
      <c r="B500" s="3" t="s">
        <v>1330</v>
      </c>
      <c r="C500" s="3" t="s">
        <v>1331</v>
      </c>
      <c r="D500" s="3" t="s">
        <v>1332</v>
      </c>
      <c r="E500" s="3" t="s">
        <v>1333</v>
      </c>
      <c r="F500" s="3" t="s">
        <v>1334</v>
      </c>
      <c r="G500" s="3" t="s">
        <v>1335</v>
      </c>
      <c r="H500" s="3" t="s">
        <v>1336</v>
      </c>
      <c r="I500" s="3" t="s">
        <v>1337</v>
      </c>
      <c r="J500" s="3" t="s">
        <v>1338</v>
      </c>
      <c r="K500" s="3" t="s">
        <v>1291</v>
      </c>
      <c r="L500" s="3" t="s">
        <v>1339</v>
      </c>
      <c r="M500" s="3" t="s">
        <v>1340</v>
      </c>
      <c r="N500" s="3" t="s">
        <v>1341</v>
      </c>
      <c r="O500" s="3" t="s">
        <v>1342</v>
      </c>
      <c r="P500" s="3" t="s">
        <v>1343</v>
      </c>
      <c r="Q500" s="3" t="s">
        <v>1344</v>
      </c>
      <c r="R500" s="3" t="s">
        <v>1345</v>
      </c>
      <c r="S500" s="3" t="s">
        <v>1346</v>
      </c>
      <c r="T500" s="3" t="s">
        <v>1347</v>
      </c>
      <c r="U500" s="3" t="s">
        <v>1348</v>
      </c>
      <c r="V500" s="3" t="s">
        <v>1291</v>
      </c>
      <c r="W500" s="3" t="s">
        <v>1349</v>
      </c>
      <c r="X500" s="3" t="s">
        <v>1350</v>
      </c>
      <c r="Y500" s="3" t="s">
        <v>1351</v>
      </c>
      <c r="Z500" s="3" t="s">
        <v>1352</v>
      </c>
      <c r="AA500" s="3" t="s">
        <v>1353</v>
      </c>
      <c r="AB500" s="3" t="s">
        <v>1354</v>
      </c>
      <c r="AC500" s="3" t="s">
        <v>1291</v>
      </c>
      <c r="AD500" s="3" t="s">
        <v>1355</v>
      </c>
      <c r="AE500" s="3" t="s">
        <v>1356</v>
      </c>
      <c r="AF500" s="3" t="s">
        <v>1357</v>
      </c>
      <c r="AG500" s="3" t="s">
        <v>1358</v>
      </c>
      <c r="AH500" s="3" t="s">
        <v>1359</v>
      </c>
      <c r="AI500" s="3" t="s">
        <v>1360</v>
      </c>
      <c r="AJ500" s="3" t="s">
        <v>1361</v>
      </c>
      <c r="AK500" s="3" t="s">
        <v>1362</v>
      </c>
      <c r="AL500" s="3" t="s">
        <v>1291</v>
      </c>
      <c r="AM500" s="3" t="s">
        <v>1363</v>
      </c>
      <c r="AN500" s="3" t="s">
        <v>1364</v>
      </c>
      <c r="AO500" s="3" t="s">
        <v>1365</v>
      </c>
      <c r="AP500" s="3" t="s">
        <v>1291</v>
      </c>
      <c r="AQ500" s="3" t="s">
        <v>1366</v>
      </c>
      <c r="AR500" s="3" t="s">
        <v>1367</v>
      </c>
      <c r="AS500" s="3" t="s">
        <v>1368</v>
      </c>
      <c r="AT500" s="3" t="s">
        <v>1291</v>
      </c>
      <c r="AU500" s="3" t="s">
        <v>1369</v>
      </c>
      <c r="AV500" s="3" t="s">
        <v>1370</v>
      </c>
      <c r="AW500" s="3" t="s">
        <v>1291</v>
      </c>
      <c r="AX500" s="3" t="s">
        <v>1371</v>
      </c>
      <c r="AY500" s="3" t="s">
        <v>1291</v>
      </c>
      <c r="AZ500" s="3" t="s">
        <v>1372</v>
      </c>
      <c r="BA500" s="3" t="s">
        <v>1373</v>
      </c>
      <c r="BB500" s="3" t="s">
        <v>1374</v>
      </c>
      <c r="BC500" s="3" t="s">
        <v>1375</v>
      </c>
      <c r="BD500" s="3" t="s">
        <v>1291</v>
      </c>
      <c r="BE500" s="3" t="s">
        <v>1291</v>
      </c>
      <c r="BF500" s="3" t="s">
        <v>1291</v>
      </c>
    </row>
    <row r="501" spans="1:58" x14ac:dyDescent="0.3">
      <c r="A501" s="3" t="s">
        <v>1376</v>
      </c>
      <c r="B501" s="3" t="s">
        <v>1377</v>
      </c>
      <c r="C501" s="3" t="s">
        <v>1291</v>
      </c>
      <c r="D501" s="3" t="s">
        <v>1291</v>
      </c>
      <c r="E501" s="3" t="s">
        <v>1291</v>
      </c>
      <c r="F501" s="3" t="s">
        <v>1291</v>
      </c>
      <c r="G501" s="3" t="s">
        <v>1291</v>
      </c>
      <c r="H501" s="3" t="s">
        <v>1291</v>
      </c>
      <c r="I501" s="3" t="s">
        <v>1378</v>
      </c>
      <c r="J501" s="3" t="s">
        <v>1379</v>
      </c>
      <c r="K501" s="3" t="s">
        <v>1291</v>
      </c>
      <c r="L501" s="3" t="s">
        <v>1380</v>
      </c>
      <c r="M501" s="3" t="s">
        <v>1381</v>
      </c>
      <c r="N501" s="3" t="s">
        <v>1291</v>
      </c>
      <c r="O501" s="3" t="s">
        <v>1291</v>
      </c>
      <c r="P501" s="3" t="s">
        <v>1291</v>
      </c>
      <c r="Q501" s="3" t="s">
        <v>1291</v>
      </c>
      <c r="R501" s="3" t="s">
        <v>1291</v>
      </c>
      <c r="S501" s="3" t="s">
        <v>1291</v>
      </c>
      <c r="T501" s="3" t="s">
        <v>1382</v>
      </c>
      <c r="U501" s="3" t="s">
        <v>1383</v>
      </c>
      <c r="V501" s="3" t="s">
        <v>1291</v>
      </c>
      <c r="W501" s="3" t="s">
        <v>1384</v>
      </c>
      <c r="X501" s="3" t="s">
        <v>1385</v>
      </c>
      <c r="Y501" s="3" t="s">
        <v>1291</v>
      </c>
      <c r="Z501" s="3" t="s">
        <v>1291</v>
      </c>
      <c r="AA501" s="3" t="s">
        <v>1291</v>
      </c>
      <c r="AB501" s="3" t="s">
        <v>1386</v>
      </c>
      <c r="AC501" s="3" t="s">
        <v>1291</v>
      </c>
      <c r="AD501" s="3" t="s">
        <v>1387</v>
      </c>
      <c r="AE501" s="3" t="s">
        <v>1388</v>
      </c>
      <c r="AF501" s="3" t="s">
        <v>1291</v>
      </c>
      <c r="AG501" s="3" t="s">
        <v>1291</v>
      </c>
      <c r="AH501" s="3" t="s">
        <v>1291</v>
      </c>
      <c r="AI501" s="3" t="s">
        <v>1389</v>
      </c>
      <c r="AJ501" s="3" t="s">
        <v>1390</v>
      </c>
      <c r="AK501" s="3" t="s">
        <v>1391</v>
      </c>
      <c r="AL501" s="3" t="s">
        <v>1291</v>
      </c>
      <c r="AM501" s="3" t="s">
        <v>1392</v>
      </c>
      <c r="AN501" s="3" t="s">
        <v>1393</v>
      </c>
      <c r="AO501" s="3" t="s">
        <v>1394</v>
      </c>
      <c r="AP501" s="3" t="s">
        <v>1291</v>
      </c>
      <c r="AQ501" s="3" t="s">
        <v>1395</v>
      </c>
      <c r="AR501" s="3" t="s">
        <v>1396</v>
      </c>
      <c r="AS501" s="3" t="s">
        <v>1397</v>
      </c>
      <c r="AT501" s="3" t="s">
        <v>1291</v>
      </c>
      <c r="AU501" s="3" t="s">
        <v>1398</v>
      </c>
      <c r="AV501" s="3" t="s">
        <v>1399</v>
      </c>
      <c r="AW501" s="3" t="s">
        <v>1291</v>
      </c>
      <c r="AX501" s="3" t="s">
        <v>1400</v>
      </c>
      <c r="AY501" s="3" t="s">
        <v>1291</v>
      </c>
      <c r="AZ501" s="3" t="s">
        <v>1401</v>
      </c>
      <c r="BA501" s="3" t="s">
        <v>1402</v>
      </c>
      <c r="BB501" s="3" t="s">
        <v>1403</v>
      </c>
      <c r="BC501" s="3" t="s">
        <v>1404</v>
      </c>
      <c r="BD501" s="3" t="s">
        <v>1291</v>
      </c>
      <c r="BE501" s="3" t="s">
        <v>1291</v>
      </c>
      <c r="BF501" s="3" t="s">
        <v>1291</v>
      </c>
    </row>
    <row r="502" spans="1:58" x14ac:dyDescent="0.3">
      <c r="A502" s="3" t="s">
        <v>1405</v>
      </c>
      <c r="B502" s="3" t="s">
        <v>1406</v>
      </c>
      <c r="C502" s="3" t="s">
        <v>1291</v>
      </c>
      <c r="D502" s="3" t="s">
        <v>1291</v>
      </c>
      <c r="E502" s="3" t="s">
        <v>1291</v>
      </c>
      <c r="F502" s="3" t="s">
        <v>1291</v>
      </c>
      <c r="G502" s="3" t="s">
        <v>1291</v>
      </c>
      <c r="H502" s="3" t="s">
        <v>1291</v>
      </c>
      <c r="I502" s="3" t="s">
        <v>1291</v>
      </c>
      <c r="J502" s="3" t="s">
        <v>1407</v>
      </c>
      <c r="K502" s="3" t="s">
        <v>1291</v>
      </c>
      <c r="L502" s="3" t="s">
        <v>1408</v>
      </c>
      <c r="M502" s="3" t="s">
        <v>1409</v>
      </c>
      <c r="N502" s="3" t="s">
        <v>1291</v>
      </c>
      <c r="O502" s="3" t="s">
        <v>1291</v>
      </c>
      <c r="P502" s="3" t="s">
        <v>1291</v>
      </c>
      <c r="Q502" s="3" t="s">
        <v>1291</v>
      </c>
      <c r="R502" s="3" t="s">
        <v>1291</v>
      </c>
      <c r="S502" s="3" t="s">
        <v>1291</v>
      </c>
      <c r="T502" s="3" t="s">
        <v>1410</v>
      </c>
      <c r="U502" s="3" t="s">
        <v>1411</v>
      </c>
      <c r="V502" s="3" t="s">
        <v>1291</v>
      </c>
      <c r="W502" s="3" t="s">
        <v>1412</v>
      </c>
      <c r="X502" s="3" t="s">
        <v>1413</v>
      </c>
      <c r="Y502" s="3" t="s">
        <v>1291</v>
      </c>
      <c r="Z502" s="3" t="s">
        <v>1291</v>
      </c>
      <c r="AA502" s="3" t="s">
        <v>1291</v>
      </c>
      <c r="AB502" s="3" t="s">
        <v>1414</v>
      </c>
      <c r="AC502" s="3" t="s">
        <v>1291</v>
      </c>
      <c r="AD502" s="3" t="s">
        <v>1415</v>
      </c>
      <c r="AE502" s="3" t="s">
        <v>1416</v>
      </c>
      <c r="AF502" s="3" t="s">
        <v>1291</v>
      </c>
      <c r="AG502" s="3" t="s">
        <v>1291</v>
      </c>
      <c r="AH502" s="3" t="s">
        <v>1291</v>
      </c>
      <c r="AI502" s="3" t="s">
        <v>1417</v>
      </c>
      <c r="AJ502" s="3" t="s">
        <v>1418</v>
      </c>
      <c r="AK502" s="3" t="s">
        <v>1419</v>
      </c>
      <c r="AL502" s="3" t="s">
        <v>1291</v>
      </c>
      <c r="AM502" s="3" t="s">
        <v>1420</v>
      </c>
      <c r="AN502" s="3" t="s">
        <v>1421</v>
      </c>
      <c r="AO502" s="3" t="s">
        <v>1422</v>
      </c>
      <c r="AP502" s="3" t="s">
        <v>1291</v>
      </c>
      <c r="AQ502" s="3" t="s">
        <v>1423</v>
      </c>
      <c r="AR502" s="3" t="s">
        <v>1424</v>
      </c>
      <c r="AS502" s="3" t="s">
        <v>1425</v>
      </c>
      <c r="AT502" s="3" t="s">
        <v>1291</v>
      </c>
      <c r="AU502" s="3" t="s">
        <v>1426</v>
      </c>
      <c r="AV502" s="3" t="s">
        <v>1427</v>
      </c>
      <c r="AW502" s="3" t="s">
        <v>1291</v>
      </c>
      <c r="AX502" s="3" t="s">
        <v>1428</v>
      </c>
      <c r="AY502" s="3" t="s">
        <v>1291</v>
      </c>
      <c r="AZ502" s="3" t="s">
        <v>1429</v>
      </c>
      <c r="BA502" s="3" t="s">
        <v>1430</v>
      </c>
      <c r="BB502" s="3" t="s">
        <v>1291</v>
      </c>
      <c r="BC502" s="3" t="s">
        <v>1431</v>
      </c>
      <c r="BD502" s="3" t="s">
        <v>1291</v>
      </c>
      <c r="BE502" s="3" t="s">
        <v>1291</v>
      </c>
      <c r="BF502" s="3" t="s">
        <v>1291</v>
      </c>
    </row>
    <row r="503" spans="1:58" x14ac:dyDescent="0.3">
      <c r="A503" s="3" t="s">
        <v>1432</v>
      </c>
      <c r="B503" s="3" t="s">
        <v>1433</v>
      </c>
      <c r="C503" s="3" t="s">
        <v>1291</v>
      </c>
      <c r="D503" s="3" t="s">
        <v>1291</v>
      </c>
      <c r="E503" s="3" t="s">
        <v>1291</v>
      </c>
      <c r="F503" s="3" t="s">
        <v>1291</v>
      </c>
      <c r="G503" s="3" t="s">
        <v>1291</v>
      </c>
      <c r="H503" s="3" t="s">
        <v>1291</v>
      </c>
      <c r="I503" s="3" t="s">
        <v>1291</v>
      </c>
      <c r="J503" s="3" t="s">
        <v>1434</v>
      </c>
      <c r="K503" s="3" t="s">
        <v>1291</v>
      </c>
      <c r="L503" s="3" t="s">
        <v>1435</v>
      </c>
      <c r="M503" s="3" t="s">
        <v>1436</v>
      </c>
      <c r="N503" s="3" t="s">
        <v>1291</v>
      </c>
      <c r="O503" s="3" t="s">
        <v>1291</v>
      </c>
      <c r="P503" s="3" t="s">
        <v>1291</v>
      </c>
      <c r="Q503" s="3" t="s">
        <v>1291</v>
      </c>
      <c r="R503" s="3" t="s">
        <v>1291</v>
      </c>
      <c r="S503" s="3" t="s">
        <v>1291</v>
      </c>
      <c r="T503" s="3" t="s">
        <v>1291</v>
      </c>
      <c r="U503" s="3" t="s">
        <v>1437</v>
      </c>
      <c r="V503" s="3" t="s">
        <v>1291</v>
      </c>
      <c r="W503" s="3" t="s">
        <v>1438</v>
      </c>
      <c r="X503" s="3" t="s">
        <v>1439</v>
      </c>
      <c r="Y503" s="3" t="s">
        <v>1291</v>
      </c>
      <c r="Z503" s="3" t="s">
        <v>1291</v>
      </c>
      <c r="AA503" s="3" t="s">
        <v>1291</v>
      </c>
      <c r="AB503" s="3" t="s">
        <v>1440</v>
      </c>
      <c r="AC503" s="3" t="s">
        <v>1291</v>
      </c>
      <c r="AD503" s="3" t="s">
        <v>1441</v>
      </c>
      <c r="AE503" s="3" t="s">
        <v>1442</v>
      </c>
      <c r="AF503" s="3" t="s">
        <v>1291</v>
      </c>
      <c r="AG503" s="3" t="s">
        <v>1291</v>
      </c>
      <c r="AH503" s="3" t="s">
        <v>1291</v>
      </c>
      <c r="AI503" s="3" t="s">
        <v>1443</v>
      </c>
      <c r="AJ503" s="3" t="s">
        <v>1291</v>
      </c>
      <c r="AK503" s="3" t="s">
        <v>1444</v>
      </c>
      <c r="AL503" s="3" t="s">
        <v>1291</v>
      </c>
      <c r="AM503" s="3" t="s">
        <v>1445</v>
      </c>
      <c r="AN503" s="3" t="s">
        <v>1446</v>
      </c>
      <c r="AO503" s="3" t="s">
        <v>1447</v>
      </c>
      <c r="AP503" s="3" t="s">
        <v>1291</v>
      </c>
      <c r="AQ503" s="3" t="s">
        <v>1448</v>
      </c>
      <c r="AR503" s="3" t="s">
        <v>1449</v>
      </c>
      <c r="AS503" s="3" t="s">
        <v>1450</v>
      </c>
      <c r="AT503" s="3" t="s">
        <v>1291</v>
      </c>
      <c r="AU503" s="3" t="s">
        <v>1451</v>
      </c>
      <c r="AV503" s="3" t="s">
        <v>1452</v>
      </c>
      <c r="AW503" s="3" t="s">
        <v>1291</v>
      </c>
      <c r="AX503" s="3" t="s">
        <v>1453</v>
      </c>
      <c r="AY503" s="3" t="s">
        <v>1291</v>
      </c>
      <c r="AZ503" s="3" t="s">
        <v>1454</v>
      </c>
      <c r="BA503" s="3" t="s">
        <v>1455</v>
      </c>
      <c r="BB503" s="3" t="s">
        <v>1291</v>
      </c>
      <c r="BC503" s="3" t="s">
        <v>1456</v>
      </c>
      <c r="BD503" s="3" t="s">
        <v>1291</v>
      </c>
      <c r="BE503" s="3" t="s">
        <v>1291</v>
      </c>
      <c r="BF503" s="3" t="s">
        <v>1291</v>
      </c>
    </row>
    <row r="504" spans="1:58" x14ac:dyDescent="0.3">
      <c r="A504" s="3" t="s">
        <v>1457</v>
      </c>
      <c r="B504" s="3" t="s">
        <v>1458</v>
      </c>
      <c r="C504" s="3" t="s">
        <v>1291</v>
      </c>
      <c r="D504" s="3" t="s">
        <v>1291</v>
      </c>
      <c r="E504" s="3" t="s">
        <v>1291</v>
      </c>
      <c r="F504" s="3" t="s">
        <v>1291</v>
      </c>
      <c r="G504" s="3" t="s">
        <v>1291</v>
      </c>
      <c r="H504" s="3" t="s">
        <v>1291</v>
      </c>
      <c r="I504" s="3" t="s">
        <v>1291</v>
      </c>
      <c r="J504" s="3" t="s">
        <v>1459</v>
      </c>
      <c r="K504" s="3" t="s">
        <v>1291</v>
      </c>
      <c r="L504" s="3" t="s">
        <v>1460</v>
      </c>
      <c r="M504" s="3" t="s">
        <v>1461</v>
      </c>
      <c r="N504" s="3" t="s">
        <v>1291</v>
      </c>
      <c r="O504" s="3" t="s">
        <v>1291</v>
      </c>
      <c r="P504" s="3" t="s">
        <v>1291</v>
      </c>
      <c r="Q504" s="3" t="s">
        <v>1291</v>
      </c>
      <c r="R504" s="3" t="s">
        <v>1291</v>
      </c>
      <c r="S504" s="3" t="s">
        <v>1291</v>
      </c>
      <c r="T504" s="3" t="s">
        <v>1291</v>
      </c>
      <c r="U504" s="3" t="s">
        <v>1462</v>
      </c>
      <c r="V504" s="3" t="s">
        <v>1291</v>
      </c>
      <c r="W504" s="3" t="s">
        <v>1463</v>
      </c>
      <c r="X504" s="3" t="s">
        <v>1464</v>
      </c>
      <c r="Y504" s="3" t="s">
        <v>1291</v>
      </c>
      <c r="Z504" s="3" t="s">
        <v>1291</v>
      </c>
      <c r="AA504" s="3" t="s">
        <v>1291</v>
      </c>
      <c r="AB504" s="3" t="s">
        <v>1465</v>
      </c>
      <c r="AC504" s="3" t="s">
        <v>1291</v>
      </c>
      <c r="AD504" s="3" t="s">
        <v>1466</v>
      </c>
      <c r="AE504" s="3" t="s">
        <v>1467</v>
      </c>
      <c r="AF504" s="3" t="s">
        <v>1291</v>
      </c>
      <c r="AG504" s="3" t="s">
        <v>1291</v>
      </c>
      <c r="AH504" s="3" t="s">
        <v>1291</v>
      </c>
      <c r="AI504" s="3" t="s">
        <v>1468</v>
      </c>
      <c r="AJ504" s="3" t="s">
        <v>1291</v>
      </c>
      <c r="AK504" s="3" t="s">
        <v>1469</v>
      </c>
      <c r="AL504" s="3" t="s">
        <v>1291</v>
      </c>
      <c r="AM504" s="3" t="s">
        <v>1470</v>
      </c>
      <c r="AN504" s="3" t="s">
        <v>1471</v>
      </c>
      <c r="AO504" s="3" t="s">
        <v>1472</v>
      </c>
      <c r="AP504" s="3" t="s">
        <v>1291</v>
      </c>
      <c r="AQ504" s="3" t="s">
        <v>1473</v>
      </c>
      <c r="AR504" s="3" t="s">
        <v>1474</v>
      </c>
      <c r="AS504" s="3" t="s">
        <v>1475</v>
      </c>
      <c r="AT504" s="3" t="s">
        <v>1291</v>
      </c>
      <c r="AU504" s="3" t="s">
        <v>1476</v>
      </c>
      <c r="AV504" s="3" t="s">
        <v>1477</v>
      </c>
      <c r="AW504" s="3" t="s">
        <v>1291</v>
      </c>
      <c r="AX504" s="3" t="s">
        <v>1478</v>
      </c>
      <c r="AY504" s="3" t="s">
        <v>1291</v>
      </c>
      <c r="AZ504" s="3" t="s">
        <v>1479</v>
      </c>
      <c r="BA504" s="3" t="s">
        <v>1480</v>
      </c>
      <c r="BB504" s="3" t="s">
        <v>1291</v>
      </c>
      <c r="BC504" s="3" t="s">
        <v>1481</v>
      </c>
      <c r="BD504" s="3" t="s">
        <v>1291</v>
      </c>
      <c r="BE504" s="3" t="s">
        <v>1291</v>
      </c>
      <c r="BF504" s="3" t="s">
        <v>1291</v>
      </c>
    </row>
    <row r="505" spans="1:58" x14ac:dyDescent="0.3">
      <c r="A505" s="3" t="s">
        <v>1291</v>
      </c>
      <c r="B505" s="3" t="s">
        <v>1291</v>
      </c>
      <c r="C505" s="3" t="s">
        <v>1291</v>
      </c>
      <c r="D505" s="3" t="s">
        <v>1291</v>
      </c>
      <c r="E505" s="3" t="s">
        <v>1291</v>
      </c>
      <c r="F505" s="3" t="s">
        <v>1291</v>
      </c>
      <c r="G505" s="3" t="s">
        <v>1291</v>
      </c>
      <c r="H505" s="3" t="s">
        <v>1291</v>
      </c>
      <c r="I505" s="3" t="s">
        <v>1291</v>
      </c>
      <c r="J505" s="3" t="s">
        <v>1482</v>
      </c>
      <c r="K505" s="3" t="s">
        <v>1291</v>
      </c>
      <c r="L505" s="3" t="s">
        <v>1291</v>
      </c>
      <c r="M505" s="3" t="s">
        <v>1291</v>
      </c>
      <c r="N505" s="3" t="s">
        <v>1291</v>
      </c>
      <c r="O505" s="3" t="s">
        <v>1291</v>
      </c>
      <c r="P505" s="3" t="s">
        <v>1291</v>
      </c>
      <c r="Q505" s="3" t="s">
        <v>1291</v>
      </c>
      <c r="R505" s="3" t="s">
        <v>1291</v>
      </c>
      <c r="S505" s="3" t="s">
        <v>1291</v>
      </c>
      <c r="T505" s="3" t="s">
        <v>1291</v>
      </c>
      <c r="U505" s="3" t="s">
        <v>1483</v>
      </c>
      <c r="V505" s="3" t="s">
        <v>1291</v>
      </c>
      <c r="W505" s="3" t="s">
        <v>1291</v>
      </c>
      <c r="X505" s="3" t="s">
        <v>1291</v>
      </c>
      <c r="Y505" s="3" t="s">
        <v>1291</v>
      </c>
      <c r="Z505" s="3" t="s">
        <v>1291</v>
      </c>
      <c r="AA505" s="3" t="s">
        <v>1291</v>
      </c>
      <c r="AB505" s="3" t="s">
        <v>1484</v>
      </c>
      <c r="AC505" s="3" t="s">
        <v>1291</v>
      </c>
      <c r="AD505" s="3" t="s">
        <v>1291</v>
      </c>
      <c r="AE505" s="3" t="s">
        <v>1291</v>
      </c>
      <c r="AF505" s="3" t="s">
        <v>1291</v>
      </c>
      <c r="AG505" s="3" t="s">
        <v>1291</v>
      </c>
      <c r="AH505" s="3" t="s">
        <v>1291</v>
      </c>
      <c r="AI505" s="3" t="s">
        <v>1485</v>
      </c>
      <c r="AJ505" s="3" t="s">
        <v>1291</v>
      </c>
      <c r="AK505" s="3" t="s">
        <v>1486</v>
      </c>
      <c r="AL505" s="3" t="s">
        <v>1291</v>
      </c>
      <c r="AM505" s="3" t="s">
        <v>1291</v>
      </c>
      <c r="AN505" s="3" t="s">
        <v>1291</v>
      </c>
      <c r="AO505" s="3" t="s">
        <v>1291</v>
      </c>
      <c r="AP505" s="3" t="s">
        <v>1291</v>
      </c>
      <c r="AQ505" s="3" t="s">
        <v>1291</v>
      </c>
      <c r="AR505" s="3" t="s">
        <v>1291</v>
      </c>
      <c r="AS505" s="3" t="s">
        <v>1487</v>
      </c>
      <c r="AT505" s="3" t="s">
        <v>1291</v>
      </c>
      <c r="AU505" s="3" t="s">
        <v>1291</v>
      </c>
      <c r="AV505" s="3" t="s">
        <v>1291</v>
      </c>
      <c r="AW505" s="3" t="s">
        <v>1291</v>
      </c>
      <c r="AX505" s="3" t="s">
        <v>1488</v>
      </c>
      <c r="AY505" s="3" t="s">
        <v>1291</v>
      </c>
      <c r="AZ505" s="3" t="s">
        <v>1291</v>
      </c>
      <c r="BA505" s="3" t="s">
        <v>1291</v>
      </c>
      <c r="BB505" s="3" t="s">
        <v>1291</v>
      </c>
      <c r="BC505" s="3" t="s">
        <v>1489</v>
      </c>
      <c r="BD505" s="3" t="s">
        <v>1291</v>
      </c>
      <c r="BE505" s="3" t="s">
        <v>1291</v>
      </c>
      <c r="BF505" s="3" t="s">
        <v>1291</v>
      </c>
    </row>
    <row r="506" spans="1:58" x14ac:dyDescent="0.3">
      <c r="A506" s="3" t="s">
        <v>1291</v>
      </c>
      <c r="B506" s="3" t="s">
        <v>1291</v>
      </c>
      <c r="C506" s="3" t="s">
        <v>1291</v>
      </c>
      <c r="D506" s="3" t="s">
        <v>1291</v>
      </c>
      <c r="E506" s="3" t="s">
        <v>1291</v>
      </c>
      <c r="F506" s="3" t="s">
        <v>1291</v>
      </c>
      <c r="G506" s="3" t="s">
        <v>1291</v>
      </c>
      <c r="H506" s="3" t="s">
        <v>1291</v>
      </c>
      <c r="I506" s="3" t="s">
        <v>1291</v>
      </c>
      <c r="J506" s="3" t="s">
        <v>1490</v>
      </c>
      <c r="K506" s="3" t="s">
        <v>1291</v>
      </c>
      <c r="L506" s="3" t="s">
        <v>1291</v>
      </c>
      <c r="M506" s="3" t="s">
        <v>1291</v>
      </c>
      <c r="N506" s="3" t="s">
        <v>1291</v>
      </c>
      <c r="O506" s="3" t="s">
        <v>1291</v>
      </c>
      <c r="P506" s="3" t="s">
        <v>1291</v>
      </c>
      <c r="Q506" s="3" t="s">
        <v>1291</v>
      </c>
      <c r="R506" s="3" t="s">
        <v>1291</v>
      </c>
      <c r="S506" s="3" t="s">
        <v>1291</v>
      </c>
      <c r="T506" s="3" t="s">
        <v>1291</v>
      </c>
      <c r="U506" s="3" t="s">
        <v>1491</v>
      </c>
      <c r="V506" s="3" t="s">
        <v>1291</v>
      </c>
      <c r="W506" s="3" t="s">
        <v>1291</v>
      </c>
      <c r="X506" s="3" t="s">
        <v>1291</v>
      </c>
      <c r="Y506" s="3" t="s">
        <v>1291</v>
      </c>
      <c r="Z506" s="3" t="s">
        <v>1291</v>
      </c>
      <c r="AA506" s="3" t="s">
        <v>1291</v>
      </c>
      <c r="AB506" s="3" t="s">
        <v>1492</v>
      </c>
      <c r="AC506" s="3" t="s">
        <v>1291</v>
      </c>
      <c r="AD506" s="3" t="s">
        <v>1291</v>
      </c>
      <c r="AE506" s="3" t="s">
        <v>1291</v>
      </c>
      <c r="AF506" s="3" t="s">
        <v>1291</v>
      </c>
      <c r="AG506" s="3" t="s">
        <v>1291</v>
      </c>
      <c r="AH506" s="3" t="s">
        <v>1291</v>
      </c>
      <c r="AI506" s="3" t="s">
        <v>1493</v>
      </c>
      <c r="AJ506" s="3" t="s">
        <v>1291</v>
      </c>
      <c r="AK506" s="3" t="s">
        <v>1494</v>
      </c>
      <c r="AL506" s="3" t="s">
        <v>1291</v>
      </c>
      <c r="AM506" s="3" t="s">
        <v>1291</v>
      </c>
      <c r="AN506" s="3" t="s">
        <v>1291</v>
      </c>
      <c r="AO506" s="3" t="s">
        <v>1291</v>
      </c>
      <c r="AP506" s="3" t="s">
        <v>1291</v>
      </c>
      <c r="AQ506" s="3" t="s">
        <v>1291</v>
      </c>
      <c r="AR506" s="3" t="s">
        <v>1291</v>
      </c>
      <c r="AS506" s="3" t="s">
        <v>1495</v>
      </c>
      <c r="AT506" s="3" t="s">
        <v>1291</v>
      </c>
      <c r="AU506" s="3" t="s">
        <v>1291</v>
      </c>
      <c r="AV506" s="3" t="s">
        <v>1291</v>
      </c>
      <c r="AW506" s="3" t="s">
        <v>1291</v>
      </c>
      <c r="AX506" s="3" t="s">
        <v>1496</v>
      </c>
      <c r="AY506" s="3" t="s">
        <v>1291</v>
      </c>
      <c r="AZ506" s="3" t="s">
        <v>1291</v>
      </c>
      <c r="BA506" s="3" t="s">
        <v>1291</v>
      </c>
      <c r="BB506" s="3" t="s">
        <v>1291</v>
      </c>
      <c r="BC506" s="3" t="s">
        <v>1291</v>
      </c>
      <c r="BD506" s="3" t="s">
        <v>1291</v>
      </c>
      <c r="BE506" s="3" t="s">
        <v>1291</v>
      </c>
      <c r="BF506" s="3" t="s">
        <v>1291</v>
      </c>
    </row>
    <row r="507" spans="1:58" x14ac:dyDescent="0.3">
      <c r="A507" s="3" t="s">
        <v>1291</v>
      </c>
      <c r="B507" s="3" t="s">
        <v>1291</v>
      </c>
      <c r="C507" s="3" t="s">
        <v>1291</v>
      </c>
      <c r="D507" s="3" t="s">
        <v>1291</v>
      </c>
      <c r="E507" s="3" t="s">
        <v>1291</v>
      </c>
      <c r="F507" s="3" t="s">
        <v>1291</v>
      </c>
      <c r="G507" s="3" t="s">
        <v>1291</v>
      </c>
      <c r="H507" s="3" t="s">
        <v>1291</v>
      </c>
      <c r="I507" s="3" t="s">
        <v>1291</v>
      </c>
      <c r="J507" s="3" t="s">
        <v>1497</v>
      </c>
      <c r="K507" s="3" t="s">
        <v>1291</v>
      </c>
      <c r="L507" s="3" t="s">
        <v>1291</v>
      </c>
      <c r="M507" s="3" t="s">
        <v>1291</v>
      </c>
      <c r="N507" s="3" t="s">
        <v>1291</v>
      </c>
      <c r="O507" s="3" t="s">
        <v>1291</v>
      </c>
      <c r="P507" s="3" t="s">
        <v>1291</v>
      </c>
      <c r="Q507" s="3" t="s">
        <v>1291</v>
      </c>
      <c r="R507" s="3" t="s">
        <v>1291</v>
      </c>
      <c r="S507" s="3" t="s">
        <v>1291</v>
      </c>
      <c r="T507" s="3" t="s">
        <v>1291</v>
      </c>
      <c r="U507" s="3" t="s">
        <v>1498</v>
      </c>
      <c r="V507" s="3" t="s">
        <v>1291</v>
      </c>
      <c r="W507" s="3" t="s">
        <v>1291</v>
      </c>
      <c r="X507" s="3" t="s">
        <v>1291</v>
      </c>
      <c r="Y507" s="3" t="s">
        <v>1291</v>
      </c>
      <c r="Z507" s="3" t="s">
        <v>1291</v>
      </c>
      <c r="AA507" s="3" t="s">
        <v>1291</v>
      </c>
      <c r="AB507" s="3" t="s">
        <v>1499</v>
      </c>
      <c r="AC507" s="3" t="s">
        <v>1291</v>
      </c>
      <c r="AD507" s="3" t="s">
        <v>1291</v>
      </c>
      <c r="AE507" s="3" t="s">
        <v>1291</v>
      </c>
      <c r="AF507" s="3" t="s">
        <v>1291</v>
      </c>
      <c r="AG507" s="3" t="s">
        <v>1291</v>
      </c>
      <c r="AH507" s="3" t="s">
        <v>1291</v>
      </c>
      <c r="AI507" s="3" t="s">
        <v>1500</v>
      </c>
      <c r="AJ507" s="3" t="s">
        <v>1291</v>
      </c>
      <c r="AK507" s="3" t="s">
        <v>1501</v>
      </c>
      <c r="AL507" s="3" t="s">
        <v>1291</v>
      </c>
      <c r="AM507" s="3" t="s">
        <v>1291</v>
      </c>
      <c r="AN507" s="3" t="s">
        <v>1291</v>
      </c>
      <c r="AO507" s="3" t="s">
        <v>1291</v>
      </c>
      <c r="AP507" s="3" t="s">
        <v>1291</v>
      </c>
      <c r="AQ507" s="3" t="s">
        <v>1291</v>
      </c>
      <c r="AR507" s="3" t="s">
        <v>1291</v>
      </c>
      <c r="AS507" s="3" t="s">
        <v>1502</v>
      </c>
      <c r="AT507" s="3" t="s">
        <v>1291</v>
      </c>
      <c r="AU507" s="3" t="s">
        <v>1291</v>
      </c>
      <c r="AV507" s="3" t="s">
        <v>1291</v>
      </c>
      <c r="AW507" s="3" t="s">
        <v>1291</v>
      </c>
      <c r="AX507" s="3" t="s">
        <v>1503</v>
      </c>
      <c r="AY507" s="3" t="s">
        <v>1291</v>
      </c>
      <c r="AZ507" s="3" t="s">
        <v>1291</v>
      </c>
      <c r="BA507" s="3" t="s">
        <v>1291</v>
      </c>
      <c r="BB507" s="3" t="s">
        <v>1291</v>
      </c>
      <c r="BC507" s="3" t="s">
        <v>1291</v>
      </c>
      <c r="BD507" s="3" t="s">
        <v>1291</v>
      </c>
      <c r="BE507" s="3" t="s">
        <v>1291</v>
      </c>
      <c r="BF507" s="3" t="s">
        <v>1291</v>
      </c>
    </row>
    <row r="508" spans="1:58" x14ac:dyDescent="0.3">
      <c r="A508" s="3" t="s">
        <v>1291</v>
      </c>
      <c r="B508" s="3" t="s">
        <v>1291</v>
      </c>
      <c r="C508" s="3" t="s">
        <v>1291</v>
      </c>
      <c r="D508" s="3" t="s">
        <v>1291</v>
      </c>
      <c r="E508" s="3" t="s">
        <v>1291</v>
      </c>
      <c r="F508" s="3" t="s">
        <v>1291</v>
      </c>
      <c r="G508" s="3" t="s">
        <v>1291</v>
      </c>
      <c r="H508" s="3" t="s">
        <v>1291</v>
      </c>
      <c r="I508" s="3" t="s">
        <v>1291</v>
      </c>
      <c r="J508" s="3" t="s">
        <v>1504</v>
      </c>
      <c r="K508" s="3" t="s">
        <v>1291</v>
      </c>
      <c r="L508" s="3" t="s">
        <v>1291</v>
      </c>
      <c r="M508" s="3" t="s">
        <v>1291</v>
      </c>
      <c r="N508" s="3" t="s">
        <v>1291</v>
      </c>
      <c r="O508" s="3" t="s">
        <v>1291</v>
      </c>
      <c r="P508" s="3" t="s">
        <v>1291</v>
      </c>
      <c r="Q508" s="3" t="s">
        <v>1291</v>
      </c>
      <c r="R508" s="3" t="s">
        <v>1291</v>
      </c>
      <c r="S508" s="3" t="s">
        <v>1291</v>
      </c>
      <c r="T508" s="3" t="s">
        <v>1291</v>
      </c>
      <c r="U508" s="3" t="s">
        <v>1505</v>
      </c>
      <c r="V508" s="3" t="s">
        <v>1291</v>
      </c>
      <c r="W508" s="3" t="s">
        <v>1291</v>
      </c>
      <c r="X508" s="3" t="s">
        <v>1291</v>
      </c>
      <c r="Y508" s="3" t="s">
        <v>1291</v>
      </c>
      <c r="Z508" s="3" t="s">
        <v>1291</v>
      </c>
      <c r="AA508" s="3" t="s">
        <v>1291</v>
      </c>
      <c r="AB508" s="3" t="s">
        <v>1506</v>
      </c>
      <c r="AC508" s="3" t="s">
        <v>1291</v>
      </c>
      <c r="AD508" s="3" t="s">
        <v>1291</v>
      </c>
      <c r="AE508" s="3" t="s">
        <v>1291</v>
      </c>
      <c r="AF508" s="3" t="s">
        <v>1291</v>
      </c>
      <c r="AG508" s="3" t="s">
        <v>1291</v>
      </c>
      <c r="AH508" s="3" t="s">
        <v>1291</v>
      </c>
      <c r="AI508" s="3" t="s">
        <v>1507</v>
      </c>
      <c r="AJ508" s="3" t="s">
        <v>1291</v>
      </c>
      <c r="AK508" s="3" t="s">
        <v>1508</v>
      </c>
      <c r="AL508" s="3" t="s">
        <v>1291</v>
      </c>
      <c r="AM508" s="3" t="s">
        <v>1291</v>
      </c>
      <c r="AN508" s="3" t="s">
        <v>1291</v>
      </c>
      <c r="AO508" s="3" t="s">
        <v>1291</v>
      </c>
      <c r="AP508" s="3" t="s">
        <v>1291</v>
      </c>
      <c r="AQ508" s="3" t="s">
        <v>1291</v>
      </c>
      <c r="AR508" s="3" t="s">
        <v>1291</v>
      </c>
      <c r="AS508" s="3" t="s">
        <v>1509</v>
      </c>
      <c r="AT508" s="3" t="s">
        <v>1291</v>
      </c>
      <c r="AU508" s="3" t="s">
        <v>1291</v>
      </c>
      <c r="AV508" s="3" t="s">
        <v>1291</v>
      </c>
      <c r="AW508" s="3" t="s">
        <v>1291</v>
      </c>
      <c r="AX508" s="3" t="s">
        <v>1510</v>
      </c>
      <c r="AY508" s="3" t="s">
        <v>1291</v>
      </c>
      <c r="AZ508" s="3" t="s">
        <v>1291</v>
      </c>
      <c r="BA508" s="3" t="s">
        <v>1291</v>
      </c>
      <c r="BB508" s="3" t="s">
        <v>1291</v>
      </c>
      <c r="BC508" s="3" t="s">
        <v>1291</v>
      </c>
      <c r="BD508" s="3" t="s">
        <v>1291</v>
      </c>
      <c r="BE508" s="3" t="s">
        <v>1291</v>
      </c>
      <c r="BF508" s="3" t="s">
        <v>1291</v>
      </c>
    </row>
    <row r="509" spans="1:58" x14ac:dyDescent="0.3">
      <c r="A509" s="3" t="s">
        <v>1291</v>
      </c>
      <c r="B509" s="3" t="s">
        <v>1291</v>
      </c>
      <c r="C509" s="3" t="s">
        <v>1291</v>
      </c>
      <c r="D509" s="3" t="s">
        <v>1291</v>
      </c>
      <c r="E509" s="3" t="s">
        <v>1291</v>
      </c>
      <c r="F509" s="3" t="s">
        <v>1291</v>
      </c>
      <c r="G509" s="3" t="s">
        <v>1291</v>
      </c>
      <c r="H509" s="3" t="s">
        <v>1291</v>
      </c>
      <c r="I509" s="3" t="s">
        <v>1291</v>
      </c>
      <c r="J509" s="3" t="s">
        <v>1511</v>
      </c>
      <c r="K509" s="3" t="s">
        <v>1291</v>
      </c>
      <c r="L509" s="3" t="s">
        <v>1291</v>
      </c>
      <c r="M509" s="3" t="s">
        <v>1291</v>
      </c>
      <c r="N509" s="3" t="s">
        <v>1291</v>
      </c>
      <c r="O509" s="3" t="s">
        <v>1291</v>
      </c>
      <c r="P509" s="3" t="s">
        <v>1291</v>
      </c>
      <c r="Q509" s="3" t="s">
        <v>1291</v>
      </c>
      <c r="R509" s="3" t="s">
        <v>1291</v>
      </c>
      <c r="S509" s="3" t="s">
        <v>1291</v>
      </c>
      <c r="T509" s="3" t="s">
        <v>1291</v>
      </c>
      <c r="U509" s="3" t="s">
        <v>1512</v>
      </c>
      <c r="V509" s="3" t="s">
        <v>1291</v>
      </c>
      <c r="W509" s="3" t="s">
        <v>1291</v>
      </c>
      <c r="X509" s="3" t="s">
        <v>1291</v>
      </c>
      <c r="Y509" s="3" t="s">
        <v>1291</v>
      </c>
      <c r="Z509" s="3" t="s">
        <v>1291</v>
      </c>
      <c r="AA509" s="3" t="s">
        <v>1291</v>
      </c>
      <c r="AB509" s="3" t="s">
        <v>1513</v>
      </c>
      <c r="AC509" s="3" t="s">
        <v>1291</v>
      </c>
      <c r="AD509" s="3" t="s">
        <v>1291</v>
      </c>
      <c r="AE509" s="3" t="s">
        <v>1291</v>
      </c>
      <c r="AF509" s="3" t="s">
        <v>1291</v>
      </c>
      <c r="AG509" s="3" t="s">
        <v>1291</v>
      </c>
      <c r="AH509" s="3" t="s">
        <v>1291</v>
      </c>
      <c r="AI509" s="3" t="s">
        <v>1514</v>
      </c>
      <c r="AJ509" s="3" t="s">
        <v>1291</v>
      </c>
      <c r="AK509" s="3" t="s">
        <v>1515</v>
      </c>
      <c r="AL509" s="3" t="s">
        <v>1291</v>
      </c>
      <c r="AM509" s="3" t="s">
        <v>1291</v>
      </c>
      <c r="AN509" s="3" t="s">
        <v>1291</v>
      </c>
      <c r="AO509" s="3" t="s">
        <v>1291</v>
      </c>
      <c r="AP509" s="3" t="s">
        <v>1291</v>
      </c>
      <c r="AQ509" s="3" t="s">
        <v>1291</v>
      </c>
      <c r="AR509" s="3" t="s">
        <v>1291</v>
      </c>
      <c r="AS509" s="3" t="s">
        <v>1516</v>
      </c>
      <c r="AT509" s="3" t="s">
        <v>1291</v>
      </c>
      <c r="AU509" s="3" t="s">
        <v>1291</v>
      </c>
      <c r="AV509" s="3" t="s">
        <v>1291</v>
      </c>
      <c r="AW509" s="3" t="s">
        <v>1291</v>
      </c>
      <c r="AX509" s="3" t="s">
        <v>1517</v>
      </c>
      <c r="AY509" s="3" t="s">
        <v>1291</v>
      </c>
      <c r="AZ509" s="3" t="s">
        <v>1291</v>
      </c>
      <c r="BA509" s="3" t="s">
        <v>1291</v>
      </c>
      <c r="BB509" s="3" t="s">
        <v>1291</v>
      </c>
      <c r="BC509" s="3" t="s">
        <v>1291</v>
      </c>
      <c r="BD509" s="3" t="s">
        <v>1291</v>
      </c>
      <c r="BE509" s="3" t="s">
        <v>1291</v>
      </c>
      <c r="BF509" s="3" t="s">
        <v>1291</v>
      </c>
    </row>
    <row r="510" spans="1:58" x14ac:dyDescent="0.3">
      <c r="A510" s="3" t="s">
        <v>1291</v>
      </c>
      <c r="B510" s="3" t="s">
        <v>1291</v>
      </c>
      <c r="C510" s="3" t="s">
        <v>1291</v>
      </c>
      <c r="D510" s="3" t="s">
        <v>1291</v>
      </c>
      <c r="E510" s="3" t="s">
        <v>1291</v>
      </c>
      <c r="F510" s="3" t="s">
        <v>1291</v>
      </c>
      <c r="G510" s="3" t="s">
        <v>1291</v>
      </c>
      <c r="H510" s="3" t="s">
        <v>1291</v>
      </c>
      <c r="I510" s="3" t="s">
        <v>1291</v>
      </c>
      <c r="J510" s="3" t="s">
        <v>1518</v>
      </c>
      <c r="K510" s="3" t="s">
        <v>1291</v>
      </c>
      <c r="L510" s="3" t="s">
        <v>1291</v>
      </c>
      <c r="M510" s="3" t="s">
        <v>1291</v>
      </c>
      <c r="N510" s="3" t="s">
        <v>1291</v>
      </c>
      <c r="O510" s="3" t="s">
        <v>1291</v>
      </c>
      <c r="P510" s="3" t="s">
        <v>1291</v>
      </c>
      <c r="Q510" s="3" t="s">
        <v>1291</v>
      </c>
      <c r="R510" s="3" t="s">
        <v>1291</v>
      </c>
      <c r="S510" s="3" t="s">
        <v>1291</v>
      </c>
      <c r="T510" s="3" t="s">
        <v>1291</v>
      </c>
      <c r="U510" s="3" t="s">
        <v>1519</v>
      </c>
      <c r="V510" s="3" t="s">
        <v>1291</v>
      </c>
      <c r="W510" s="3" t="s">
        <v>1291</v>
      </c>
      <c r="X510" s="3" t="s">
        <v>1291</v>
      </c>
      <c r="Y510" s="3" t="s">
        <v>1291</v>
      </c>
      <c r="Z510" s="3" t="s">
        <v>1291</v>
      </c>
      <c r="AA510" s="3" t="s">
        <v>1291</v>
      </c>
      <c r="AB510" s="3" t="s">
        <v>1520</v>
      </c>
      <c r="AC510" s="3" t="s">
        <v>1291</v>
      </c>
      <c r="AD510" s="3" t="s">
        <v>1291</v>
      </c>
      <c r="AE510" s="3" t="s">
        <v>1291</v>
      </c>
      <c r="AF510" s="3" t="s">
        <v>1291</v>
      </c>
      <c r="AG510" s="3" t="s">
        <v>1291</v>
      </c>
      <c r="AH510" s="3" t="s">
        <v>1291</v>
      </c>
      <c r="AI510" s="3" t="s">
        <v>1521</v>
      </c>
      <c r="AJ510" s="3" t="s">
        <v>1291</v>
      </c>
      <c r="AK510" s="3" t="s">
        <v>1522</v>
      </c>
      <c r="AL510" s="3" t="s">
        <v>1291</v>
      </c>
      <c r="AM510" s="3" t="s">
        <v>1291</v>
      </c>
      <c r="AN510" s="3" t="s">
        <v>1291</v>
      </c>
      <c r="AO510" s="3" t="s">
        <v>1291</v>
      </c>
      <c r="AP510" s="3" t="s">
        <v>1291</v>
      </c>
      <c r="AQ510" s="3" t="s">
        <v>1291</v>
      </c>
      <c r="AR510" s="3" t="s">
        <v>1291</v>
      </c>
      <c r="AS510" s="3" t="s">
        <v>1523</v>
      </c>
      <c r="AT510" s="3" t="s">
        <v>1291</v>
      </c>
      <c r="AU510" s="3" t="s">
        <v>1291</v>
      </c>
      <c r="AV510" s="3" t="s">
        <v>1291</v>
      </c>
      <c r="AW510" s="3" t="s">
        <v>1291</v>
      </c>
      <c r="AX510" s="3" t="s">
        <v>1291</v>
      </c>
      <c r="AY510" s="3" t="s">
        <v>1291</v>
      </c>
      <c r="AZ510" s="3" t="s">
        <v>1291</v>
      </c>
      <c r="BA510" s="3" t="s">
        <v>1291</v>
      </c>
      <c r="BB510" s="3" t="s">
        <v>1291</v>
      </c>
      <c r="BC510" s="3" t="s">
        <v>1291</v>
      </c>
      <c r="BD510" s="3" t="s">
        <v>1291</v>
      </c>
      <c r="BE510" s="3" t="s">
        <v>1291</v>
      </c>
      <c r="BF510" s="3" t="s">
        <v>1291</v>
      </c>
    </row>
    <row r="511" spans="1:58" x14ac:dyDescent="0.3">
      <c r="A511" s="3" t="s">
        <v>1291</v>
      </c>
      <c r="B511" s="3" t="s">
        <v>1291</v>
      </c>
      <c r="C511" s="3" t="s">
        <v>1291</v>
      </c>
      <c r="D511" s="3" t="s">
        <v>1291</v>
      </c>
      <c r="E511" s="3" t="s">
        <v>1291</v>
      </c>
      <c r="F511" s="3" t="s">
        <v>1291</v>
      </c>
      <c r="G511" s="3" t="s">
        <v>1291</v>
      </c>
      <c r="H511" s="3" t="s">
        <v>1291</v>
      </c>
      <c r="I511" s="3" t="s">
        <v>1291</v>
      </c>
      <c r="J511" s="3" t="s">
        <v>1524</v>
      </c>
      <c r="K511" s="3" t="s">
        <v>1291</v>
      </c>
      <c r="L511" s="3" t="s">
        <v>1291</v>
      </c>
      <c r="M511" s="3" t="s">
        <v>1291</v>
      </c>
      <c r="N511" s="3" t="s">
        <v>1291</v>
      </c>
      <c r="O511" s="3" t="s">
        <v>1291</v>
      </c>
      <c r="P511" s="3" t="s">
        <v>1291</v>
      </c>
      <c r="Q511" s="3" t="s">
        <v>1291</v>
      </c>
      <c r="R511" s="3" t="s">
        <v>1291</v>
      </c>
      <c r="S511" s="3" t="s">
        <v>1291</v>
      </c>
      <c r="T511" s="3" t="s">
        <v>1291</v>
      </c>
      <c r="U511" s="3" t="s">
        <v>1525</v>
      </c>
      <c r="V511" s="3" t="s">
        <v>1291</v>
      </c>
      <c r="W511" s="3" t="s">
        <v>1291</v>
      </c>
      <c r="X511" s="3" t="s">
        <v>1291</v>
      </c>
      <c r="Y511" s="3" t="s">
        <v>1291</v>
      </c>
      <c r="Z511" s="3" t="s">
        <v>1291</v>
      </c>
      <c r="AA511" s="3" t="s">
        <v>1291</v>
      </c>
      <c r="AB511" s="3" t="s">
        <v>1526</v>
      </c>
      <c r="AC511" s="3" t="s">
        <v>1291</v>
      </c>
      <c r="AD511" s="3" t="s">
        <v>1291</v>
      </c>
      <c r="AE511" s="3" t="s">
        <v>1291</v>
      </c>
      <c r="AF511" s="3" t="s">
        <v>1291</v>
      </c>
      <c r="AG511" s="3" t="s">
        <v>1291</v>
      </c>
      <c r="AH511" s="3" t="s">
        <v>1291</v>
      </c>
      <c r="AI511" s="3" t="s">
        <v>1527</v>
      </c>
      <c r="AJ511" s="3" t="s">
        <v>1291</v>
      </c>
      <c r="AK511" s="3" t="s">
        <v>1528</v>
      </c>
      <c r="AL511" s="3" t="s">
        <v>1291</v>
      </c>
      <c r="AM511" s="3" t="s">
        <v>1291</v>
      </c>
      <c r="AN511" s="3" t="s">
        <v>1291</v>
      </c>
      <c r="AO511" s="3" t="s">
        <v>1291</v>
      </c>
      <c r="AP511" s="3" t="s">
        <v>1291</v>
      </c>
      <c r="AQ511" s="3" t="s">
        <v>1291</v>
      </c>
      <c r="AR511" s="3" t="s">
        <v>1291</v>
      </c>
      <c r="AS511" s="3" t="s">
        <v>1529</v>
      </c>
      <c r="AT511" s="3" t="s">
        <v>1291</v>
      </c>
      <c r="AU511" s="3" t="s">
        <v>1291</v>
      </c>
      <c r="AV511" s="3" t="s">
        <v>1291</v>
      </c>
      <c r="AW511" s="3" t="s">
        <v>1291</v>
      </c>
      <c r="AX511" s="3" t="s">
        <v>1291</v>
      </c>
      <c r="AY511" s="3" t="s">
        <v>1291</v>
      </c>
      <c r="AZ511" s="3" t="s">
        <v>1291</v>
      </c>
      <c r="BA511" s="3" t="s">
        <v>1291</v>
      </c>
      <c r="BB511" s="3" t="s">
        <v>1291</v>
      </c>
      <c r="BC511" s="3" t="s">
        <v>1291</v>
      </c>
      <c r="BD511" s="3" t="s">
        <v>1291</v>
      </c>
      <c r="BE511" s="3" t="s">
        <v>1291</v>
      </c>
      <c r="BF511" s="3" t="s">
        <v>1291</v>
      </c>
    </row>
    <row r="512" spans="1:58" x14ac:dyDescent="0.3">
      <c r="A512" s="3" t="s">
        <v>1291</v>
      </c>
      <c r="B512" s="3" t="s">
        <v>1291</v>
      </c>
      <c r="C512" s="3" t="s">
        <v>1291</v>
      </c>
      <c r="D512" s="3" t="s">
        <v>1291</v>
      </c>
      <c r="E512" s="3" t="s">
        <v>1291</v>
      </c>
      <c r="F512" s="3" t="s">
        <v>1291</v>
      </c>
      <c r="G512" s="3" t="s">
        <v>1291</v>
      </c>
      <c r="H512" s="3" t="s">
        <v>1291</v>
      </c>
      <c r="I512" s="3" t="s">
        <v>1291</v>
      </c>
      <c r="J512" s="3" t="s">
        <v>1530</v>
      </c>
      <c r="K512" s="3" t="s">
        <v>1291</v>
      </c>
      <c r="L512" s="3" t="s">
        <v>1291</v>
      </c>
      <c r="M512" s="3" t="s">
        <v>1291</v>
      </c>
      <c r="N512" s="3" t="s">
        <v>1291</v>
      </c>
      <c r="O512" s="3" t="s">
        <v>1291</v>
      </c>
      <c r="P512" s="3" t="s">
        <v>1291</v>
      </c>
      <c r="Q512" s="3" t="s">
        <v>1291</v>
      </c>
      <c r="R512" s="3" t="s">
        <v>1291</v>
      </c>
      <c r="S512" s="3" t="s">
        <v>1291</v>
      </c>
      <c r="T512" s="3" t="s">
        <v>1291</v>
      </c>
      <c r="U512" s="3" t="s">
        <v>1531</v>
      </c>
      <c r="V512" s="3" t="s">
        <v>1291</v>
      </c>
      <c r="W512" s="3" t="s">
        <v>1291</v>
      </c>
      <c r="X512" s="3" t="s">
        <v>1291</v>
      </c>
      <c r="Y512" s="3" t="s">
        <v>1291</v>
      </c>
      <c r="Z512" s="3" t="s">
        <v>1291</v>
      </c>
      <c r="AA512" s="3" t="s">
        <v>1291</v>
      </c>
      <c r="AB512" s="3" t="s">
        <v>1532</v>
      </c>
      <c r="AC512" s="3" t="s">
        <v>1291</v>
      </c>
      <c r="AD512" s="3" t="s">
        <v>1291</v>
      </c>
      <c r="AE512" s="3" t="s">
        <v>1291</v>
      </c>
      <c r="AF512" s="3" t="s">
        <v>1291</v>
      </c>
      <c r="AG512" s="3" t="s">
        <v>1291</v>
      </c>
      <c r="AH512" s="3" t="s">
        <v>1291</v>
      </c>
      <c r="AI512" s="3" t="s">
        <v>1533</v>
      </c>
      <c r="AJ512" s="3" t="s">
        <v>1291</v>
      </c>
      <c r="AK512" s="3" t="s">
        <v>1534</v>
      </c>
      <c r="AL512" s="3" t="s">
        <v>1291</v>
      </c>
      <c r="AM512" s="3" t="s">
        <v>1291</v>
      </c>
      <c r="AN512" s="3" t="s">
        <v>1291</v>
      </c>
      <c r="AO512" s="3" t="s">
        <v>1291</v>
      </c>
      <c r="AP512" s="3" t="s">
        <v>1291</v>
      </c>
      <c r="AQ512" s="3" t="s">
        <v>1291</v>
      </c>
      <c r="AR512" s="3" t="s">
        <v>1291</v>
      </c>
      <c r="AS512" s="3" t="s">
        <v>1535</v>
      </c>
      <c r="AT512" s="3" t="s">
        <v>1291</v>
      </c>
      <c r="AU512" s="3" t="s">
        <v>1291</v>
      </c>
      <c r="AV512" s="3" t="s">
        <v>1291</v>
      </c>
      <c r="AW512" s="3" t="s">
        <v>1291</v>
      </c>
      <c r="AX512" s="3" t="s">
        <v>1291</v>
      </c>
      <c r="AY512" s="3" t="s">
        <v>1291</v>
      </c>
      <c r="AZ512" s="3" t="s">
        <v>1291</v>
      </c>
      <c r="BA512" s="3" t="s">
        <v>1291</v>
      </c>
      <c r="BB512" s="3" t="s">
        <v>1291</v>
      </c>
      <c r="BC512" s="3" t="s">
        <v>1291</v>
      </c>
      <c r="BD512" s="3" t="s">
        <v>1291</v>
      </c>
      <c r="BE512" s="3" t="s">
        <v>1291</v>
      </c>
      <c r="BF512" s="3" t="s">
        <v>1291</v>
      </c>
    </row>
    <row r="513" spans="1:58" x14ac:dyDescent="0.3">
      <c r="A513" s="3" t="s">
        <v>1291</v>
      </c>
      <c r="B513" s="3" t="s">
        <v>1291</v>
      </c>
      <c r="C513" s="3" t="s">
        <v>1291</v>
      </c>
      <c r="D513" s="3" t="s">
        <v>1291</v>
      </c>
      <c r="E513" s="3" t="s">
        <v>1291</v>
      </c>
      <c r="F513" s="3" t="s">
        <v>1291</v>
      </c>
      <c r="G513" s="3" t="s">
        <v>1291</v>
      </c>
      <c r="H513" s="3" t="s">
        <v>1291</v>
      </c>
      <c r="I513" s="3" t="s">
        <v>1291</v>
      </c>
      <c r="J513" s="3" t="s">
        <v>1536</v>
      </c>
      <c r="K513" s="3" t="s">
        <v>1291</v>
      </c>
      <c r="L513" s="3" t="s">
        <v>1291</v>
      </c>
      <c r="M513" s="3" t="s">
        <v>1291</v>
      </c>
      <c r="N513" s="3" t="s">
        <v>1291</v>
      </c>
      <c r="O513" s="3" t="s">
        <v>1291</v>
      </c>
      <c r="P513" s="3" t="s">
        <v>1291</v>
      </c>
      <c r="Q513" s="3" t="s">
        <v>1291</v>
      </c>
      <c r="R513" s="3" t="s">
        <v>1291</v>
      </c>
      <c r="S513" s="3" t="s">
        <v>1291</v>
      </c>
      <c r="T513" s="3" t="s">
        <v>1291</v>
      </c>
      <c r="U513" s="3" t="s">
        <v>1537</v>
      </c>
      <c r="V513" s="3" t="s">
        <v>1291</v>
      </c>
      <c r="W513" s="3" t="s">
        <v>1291</v>
      </c>
      <c r="X513" s="3" t="s">
        <v>1291</v>
      </c>
      <c r="Y513" s="3" t="s">
        <v>1291</v>
      </c>
      <c r="Z513" s="3" t="s">
        <v>1291</v>
      </c>
      <c r="AA513" s="3" t="s">
        <v>1291</v>
      </c>
      <c r="AB513" s="3" t="s">
        <v>1538</v>
      </c>
      <c r="AC513" s="3" t="s">
        <v>1291</v>
      </c>
      <c r="AD513" s="3" t="s">
        <v>1291</v>
      </c>
      <c r="AE513" s="3" t="s">
        <v>1291</v>
      </c>
      <c r="AF513" s="3" t="s">
        <v>1291</v>
      </c>
      <c r="AG513" s="3" t="s">
        <v>1291</v>
      </c>
      <c r="AH513" s="3" t="s">
        <v>1291</v>
      </c>
      <c r="AI513" s="3" t="s">
        <v>1539</v>
      </c>
      <c r="AJ513" s="3" t="s">
        <v>1291</v>
      </c>
      <c r="AK513" s="3" t="s">
        <v>1540</v>
      </c>
      <c r="AL513" s="3" t="s">
        <v>1291</v>
      </c>
      <c r="AM513" s="3" t="s">
        <v>1291</v>
      </c>
      <c r="AN513" s="3" t="s">
        <v>1291</v>
      </c>
      <c r="AO513" s="3" t="s">
        <v>1291</v>
      </c>
      <c r="AP513" s="3" t="s">
        <v>1291</v>
      </c>
      <c r="AQ513" s="3" t="s">
        <v>1291</v>
      </c>
      <c r="AR513" s="3" t="s">
        <v>1291</v>
      </c>
      <c r="AS513" s="3" t="s">
        <v>1291</v>
      </c>
      <c r="AT513" s="3" t="s">
        <v>1291</v>
      </c>
      <c r="AU513" s="3" t="s">
        <v>1291</v>
      </c>
      <c r="AV513" s="3" t="s">
        <v>1291</v>
      </c>
      <c r="AW513" s="3" t="s">
        <v>1291</v>
      </c>
      <c r="AX513" s="3" t="s">
        <v>1291</v>
      </c>
      <c r="AY513" s="3" t="s">
        <v>1291</v>
      </c>
      <c r="AZ513" s="3" t="s">
        <v>1291</v>
      </c>
      <c r="BA513" s="3" t="s">
        <v>1291</v>
      </c>
      <c r="BB513" s="3" t="s">
        <v>1291</v>
      </c>
      <c r="BC513" s="3" t="s">
        <v>1291</v>
      </c>
      <c r="BD513" s="3" t="s">
        <v>1291</v>
      </c>
      <c r="BE513" s="3" t="s">
        <v>1291</v>
      </c>
      <c r="BF513" s="3" t="s">
        <v>1291</v>
      </c>
    </row>
    <row r="514" spans="1:58" x14ac:dyDescent="0.3">
      <c r="A514" s="3" t="s">
        <v>1291</v>
      </c>
      <c r="B514" s="3" t="s">
        <v>1291</v>
      </c>
      <c r="C514" s="3" t="s">
        <v>1291</v>
      </c>
      <c r="D514" s="3" t="s">
        <v>1291</v>
      </c>
      <c r="E514" s="3" t="s">
        <v>1291</v>
      </c>
      <c r="F514" s="3" t="s">
        <v>1291</v>
      </c>
      <c r="G514" s="3" t="s">
        <v>1291</v>
      </c>
      <c r="H514" s="3" t="s">
        <v>1291</v>
      </c>
      <c r="I514" s="3" t="s">
        <v>1291</v>
      </c>
      <c r="J514" s="3" t="s">
        <v>1541</v>
      </c>
      <c r="K514" s="3" t="s">
        <v>1291</v>
      </c>
      <c r="L514" s="3" t="s">
        <v>1291</v>
      </c>
      <c r="M514" s="3" t="s">
        <v>1291</v>
      </c>
      <c r="N514" s="3" t="s">
        <v>1291</v>
      </c>
      <c r="O514" s="3" t="s">
        <v>1291</v>
      </c>
      <c r="P514" s="3" t="s">
        <v>1291</v>
      </c>
      <c r="Q514" s="3" t="s">
        <v>1291</v>
      </c>
      <c r="R514" s="3" t="s">
        <v>1291</v>
      </c>
      <c r="S514" s="3" t="s">
        <v>1291</v>
      </c>
      <c r="T514" s="3" t="s">
        <v>1291</v>
      </c>
      <c r="U514" s="3" t="s">
        <v>1542</v>
      </c>
      <c r="V514" s="3" t="s">
        <v>1291</v>
      </c>
      <c r="W514" s="3" t="s">
        <v>1291</v>
      </c>
      <c r="X514" s="3" t="s">
        <v>1291</v>
      </c>
      <c r="Y514" s="3" t="s">
        <v>1291</v>
      </c>
      <c r="Z514" s="3" t="s">
        <v>1291</v>
      </c>
      <c r="AA514" s="3" t="s">
        <v>1291</v>
      </c>
      <c r="AB514" s="3" t="s">
        <v>1543</v>
      </c>
      <c r="AC514" s="3" t="s">
        <v>1291</v>
      </c>
      <c r="AD514" s="3" t="s">
        <v>1291</v>
      </c>
      <c r="AE514" s="3" t="s">
        <v>1291</v>
      </c>
      <c r="AF514" s="3" t="s">
        <v>1291</v>
      </c>
      <c r="AG514" s="3" t="s">
        <v>1291</v>
      </c>
      <c r="AH514" s="3" t="s">
        <v>1291</v>
      </c>
      <c r="AI514" s="3" t="s">
        <v>1544</v>
      </c>
      <c r="AJ514" s="3" t="s">
        <v>1291</v>
      </c>
      <c r="AK514" s="3" t="s">
        <v>1545</v>
      </c>
      <c r="AL514" s="3" t="s">
        <v>1291</v>
      </c>
      <c r="AM514" s="3" t="s">
        <v>1291</v>
      </c>
      <c r="AN514" s="3" t="s">
        <v>1291</v>
      </c>
      <c r="AO514" s="3" t="s">
        <v>1291</v>
      </c>
      <c r="AP514" s="3" t="s">
        <v>1291</v>
      </c>
      <c r="AQ514" s="3" t="s">
        <v>1291</v>
      </c>
      <c r="AR514" s="3" t="s">
        <v>1291</v>
      </c>
      <c r="AS514" s="3" t="s">
        <v>1291</v>
      </c>
      <c r="AT514" s="3" t="s">
        <v>1291</v>
      </c>
      <c r="AU514" s="3" t="s">
        <v>1291</v>
      </c>
      <c r="AV514" s="3" t="s">
        <v>1291</v>
      </c>
      <c r="AW514" s="3" t="s">
        <v>1291</v>
      </c>
      <c r="AX514" s="3" t="s">
        <v>1291</v>
      </c>
      <c r="AY514" s="3" t="s">
        <v>1291</v>
      </c>
      <c r="AZ514" s="3" t="s">
        <v>1291</v>
      </c>
      <c r="BA514" s="3" t="s">
        <v>1291</v>
      </c>
      <c r="BB514" s="3" t="s">
        <v>1291</v>
      </c>
      <c r="BC514" s="3" t="s">
        <v>1291</v>
      </c>
      <c r="BD514" s="3" t="s">
        <v>1291</v>
      </c>
      <c r="BE514" s="3" t="s">
        <v>1291</v>
      </c>
      <c r="BF514" s="3" t="s">
        <v>1291</v>
      </c>
    </row>
    <row r="515" spans="1:58" x14ac:dyDescent="0.3">
      <c r="A515" s="3" t="s">
        <v>1291</v>
      </c>
      <c r="B515" s="3" t="s">
        <v>1291</v>
      </c>
      <c r="C515" s="3" t="s">
        <v>1291</v>
      </c>
      <c r="D515" s="3" t="s">
        <v>1291</v>
      </c>
      <c r="E515" s="3" t="s">
        <v>1291</v>
      </c>
      <c r="F515" s="3" t="s">
        <v>1291</v>
      </c>
      <c r="G515" s="3" t="s">
        <v>1291</v>
      </c>
      <c r="H515" s="3" t="s">
        <v>1291</v>
      </c>
      <c r="I515" s="3" t="s">
        <v>1291</v>
      </c>
      <c r="J515" s="3" t="s">
        <v>1546</v>
      </c>
      <c r="K515" s="3" t="s">
        <v>1291</v>
      </c>
      <c r="L515" s="3" t="s">
        <v>1291</v>
      </c>
      <c r="M515" s="3" t="s">
        <v>1291</v>
      </c>
      <c r="N515" s="3" t="s">
        <v>1291</v>
      </c>
      <c r="O515" s="3" t="s">
        <v>1291</v>
      </c>
      <c r="P515" s="3" t="s">
        <v>1291</v>
      </c>
      <c r="Q515" s="3" t="s">
        <v>1291</v>
      </c>
      <c r="R515" s="3" t="s">
        <v>1291</v>
      </c>
      <c r="S515" s="3" t="s">
        <v>1291</v>
      </c>
      <c r="T515" s="3" t="s">
        <v>1291</v>
      </c>
      <c r="U515" s="3" t="s">
        <v>1547</v>
      </c>
      <c r="V515" s="3" t="s">
        <v>1291</v>
      </c>
      <c r="W515" s="3" t="s">
        <v>1291</v>
      </c>
      <c r="X515" s="3" t="s">
        <v>1291</v>
      </c>
      <c r="Y515" s="3" t="s">
        <v>1291</v>
      </c>
      <c r="Z515" s="3" t="s">
        <v>1291</v>
      </c>
      <c r="AA515" s="3" t="s">
        <v>1291</v>
      </c>
      <c r="AB515" s="3" t="s">
        <v>1548</v>
      </c>
      <c r="AC515" s="3" t="s">
        <v>1291</v>
      </c>
      <c r="AD515" s="3" t="s">
        <v>1291</v>
      </c>
      <c r="AE515" s="3" t="s">
        <v>1291</v>
      </c>
      <c r="AF515" s="3" t="s">
        <v>1291</v>
      </c>
      <c r="AG515" s="3" t="s">
        <v>1291</v>
      </c>
      <c r="AH515" s="3" t="s">
        <v>1291</v>
      </c>
      <c r="AI515" s="3" t="s">
        <v>1549</v>
      </c>
      <c r="AJ515" s="3" t="s">
        <v>1291</v>
      </c>
      <c r="AK515" s="3" t="s">
        <v>1550</v>
      </c>
      <c r="AL515" s="3" t="s">
        <v>1291</v>
      </c>
      <c r="AM515" s="3" t="s">
        <v>1291</v>
      </c>
      <c r="AN515" s="3" t="s">
        <v>1291</v>
      </c>
      <c r="AO515" s="3" t="s">
        <v>1291</v>
      </c>
      <c r="AP515" s="3" t="s">
        <v>1291</v>
      </c>
      <c r="AQ515" s="3" t="s">
        <v>1291</v>
      </c>
      <c r="AR515" s="3" t="s">
        <v>1291</v>
      </c>
      <c r="AS515" s="3" t="s">
        <v>1291</v>
      </c>
      <c r="AT515" s="3" t="s">
        <v>1291</v>
      </c>
      <c r="AU515" s="3" t="s">
        <v>1291</v>
      </c>
      <c r="AV515" s="3" t="s">
        <v>1291</v>
      </c>
      <c r="AW515" s="3" t="s">
        <v>1291</v>
      </c>
      <c r="AX515" s="3" t="s">
        <v>1291</v>
      </c>
      <c r="AY515" s="3" t="s">
        <v>1291</v>
      </c>
      <c r="AZ515" s="3" t="s">
        <v>1291</v>
      </c>
      <c r="BA515" s="3" t="s">
        <v>1291</v>
      </c>
      <c r="BB515" s="3" t="s">
        <v>1291</v>
      </c>
      <c r="BC515" s="3" t="s">
        <v>1291</v>
      </c>
      <c r="BD515" s="3" t="s">
        <v>1291</v>
      </c>
      <c r="BE515" s="3" t="s">
        <v>1291</v>
      </c>
      <c r="BF515" s="3" t="s">
        <v>1291</v>
      </c>
    </row>
    <row r="516" spans="1:58" x14ac:dyDescent="0.3">
      <c r="A516" s="3" t="s">
        <v>1291</v>
      </c>
      <c r="B516" s="3" t="s">
        <v>1291</v>
      </c>
      <c r="C516" s="3" t="s">
        <v>1291</v>
      </c>
      <c r="D516" s="3" t="s">
        <v>1291</v>
      </c>
      <c r="E516" s="3" t="s">
        <v>1291</v>
      </c>
      <c r="F516" s="3" t="s">
        <v>1291</v>
      </c>
      <c r="G516" s="3" t="s">
        <v>1291</v>
      </c>
      <c r="H516" s="3" t="s">
        <v>1291</v>
      </c>
      <c r="I516" s="3" t="s">
        <v>1291</v>
      </c>
      <c r="J516" s="3" t="s">
        <v>1551</v>
      </c>
      <c r="K516" s="3" t="s">
        <v>1291</v>
      </c>
      <c r="L516" s="3" t="s">
        <v>1291</v>
      </c>
      <c r="M516" s="3" t="s">
        <v>1291</v>
      </c>
      <c r="N516" s="3" t="s">
        <v>1291</v>
      </c>
      <c r="O516" s="3" t="s">
        <v>1291</v>
      </c>
      <c r="P516" s="3" t="s">
        <v>1291</v>
      </c>
      <c r="Q516" s="3" t="s">
        <v>1291</v>
      </c>
      <c r="R516" s="3" t="s">
        <v>1291</v>
      </c>
      <c r="S516" s="3" t="s">
        <v>1291</v>
      </c>
      <c r="T516" s="3" t="s">
        <v>1291</v>
      </c>
      <c r="U516" s="3" t="s">
        <v>1552</v>
      </c>
      <c r="V516" s="3" t="s">
        <v>1291</v>
      </c>
      <c r="W516" s="3" t="s">
        <v>1291</v>
      </c>
      <c r="X516" s="3" t="s">
        <v>1291</v>
      </c>
      <c r="Y516" s="3" t="s">
        <v>1291</v>
      </c>
      <c r="Z516" s="3" t="s">
        <v>1291</v>
      </c>
      <c r="AA516" s="3" t="s">
        <v>1291</v>
      </c>
      <c r="AB516" s="3" t="s">
        <v>1553</v>
      </c>
      <c r="AC516" s="3" t="s">
        <v>1291</v>
      </c>
      <c r="AD516" s="3" t="s">
        <v>1291</v>
      </c>
      <c r="AE516" s="3" t="s">
        <v>1291</v>
      </c>
      <c r="AF516" s="3" t="s">
        <v>1291</v>
      </c>
      <c r="AG516" s="3" t="s">
        <v>1291</v>
      </c>
      <c r="AH516" s="3" t="s">
        <v>1291</v>
      </c>
      <c r="AI516" s="3" t="s">
        <v>1554</v>
      </c>
      <c r="AJ516" s="3" t="s">
        <v>1291</v>
      </c>
      <c r="AK516" s="3" t="s">
        <v>1555</v>
      </c>
      <c r="AL516" s="3" t="s">
        <v>1291</v>
      </c>
      <c r="AM516" s="3" t="s">
        <v>1291</v>
      </c>
      <c r="AN516" s="3" t="s">
        <v>1291</v>
      </c>
      <c r="AO516" s="3" t="s">
        <v>1291</v>
      </c>
      <c r="AP516" s="3" t="s">
        <v>1291</v>
      </c>
      <c r="AQ516" s="3" t="s">
        <v>1291</v>
      </c>
      <c r="AR516" s="3" t="s">
        <v>1291</v>
      </c>
      <c r="AS516" s="3" t="s">
        <v>1291</v>
      </c>
      <c r="AT516" s="3" t="s">
        <v>1291</v>
      </c>
      <c r="AU516" s="3" t="s">
        <v>1291</v>
      </c>
      <c r="AV516" s="3" t="s">
        <v>1291</v>
      </c>
      <c r="AW516" s="3" t="s">
        <v>1291</v>
      </c>
      <c r="AX516" s="3" t="s">
        <v>1291</v>
      </c>
      <c r="AY516" s="3" t="s">
        <v>1291</v>
      </c>
      <c r="AZ516" s="3" t="s">
        <v>1291</v>
      </c>
      <c r="BA516" s="3" t="s">
        <v>1291</v>
      </c>
      <c r="BB516" s="3" t="s">
        <v>1291</v>
      </c>
      <c r="BC516" s="3" t="s">
        <v>1291</v>
      </c>
      <c r="BD516" s="3" t="s">
        <v>1291</v>
      </c>
      <c r="BE516" s="3" t="s">
        <v>1291</v>
      </c>
      <c r="BF516" s="3" t="s">
        <v>1291</v>
      </c>
    </row>
    <row r="517" spans="1:58" x14ac:dyDescent="0.3">
      <c r="A517" s="3" t="s">
        <v>1291</v>
      </c>
      <c r="B517" s="3" t="s">
        <v>1291</v>
      </c>
      <c r="C517" s="3" t="s">
        <v>1291</v>
      </c>
      <c r="D517" s="3" t="s">
        <v>1291</v>
      </c>
      <c r="E517" s="3" t="s">
        <v>1291</v>
      </c>
      <c r="F517" s="3" t="s">
        <v>1291</v>
      </c>
      <c r="G517" s="3" t="s">
        <v>1291</v>
      </c>
      <c r="H517" s="3" t="s">
        <v>1291</v>
      </c>
      <c r="I517" s="3" t="s">
        <v>1291</v>
      </c>
      <c r="J517" s="3" t="s">
        <v>1556</v>
      </c>
      <c r="K517" s="3" t="s">
        <v>1291</v>
      </c>
      <c r="L517" s="3" t="s">
        <v>1291</v>
      </c>
      <c r="M517" s="3" t="s">
        <v>1291</v>
      </c>
      <c r="N517" s="3" t="s">
        <v>1291</v>
      </c>
      <c r="O517" s="3" t="s">
        <v>1291</v>
      </c>
      <c r="P517" s="3" t="s">
        <v>1291</v>
      </c>
      <c r="Q517" s="3" t="s">
        <v>1291</v>
      </c>
      <c r="R517" s="3" t="s">
        <v>1291</v>
      </c>
      <c r="S517" s="3" t="s">
        <v>1291</v>
      </c>
      <c r="T517" s="3" t="s">
        <v>1291</v>
      </c>
      <c r="U517" s="3" t="s">
        <v>1557</v>
      </c>
      <c r="V517" s="3" t="s">
        <v>1291</v>
      </c>
      <c r="W517" s="3" t="s">
        <v>1291</v>
      </c>
      <c r="X517" s="3" t="s">
        <v>1291</v>
      </c>
      <c r="Y517" s="3" t="s">
        <v>1291</v>
      </c>
      <c r="Z517" s="3" t="s">
        <v>1291</v>
      </c>
      <c r="AA517" s="3" t="s">
        <v>1291</v>
      </c>
      <c r="AB517" s="3" t="s">
        <v>1558</v>
      </c>
      <c r="AC517" s="3" t="s">
        <v>1291</v>
      </c>
      <c r="AD517" s="3" t="s">
        <v>1291</v>
      </c>
      <c r="AE517" s="3" t="s">
        <v>1291</v>
      </c>
      <c r="AF517" s="3" t="s">
        <v>1291</v>
      </c>
      <c r="AG517" s="3" t="s">
        <v>1291</v>
      </c>
      <c r="AH517" s="3" t="s">
        <v>1291</v>
      </c>
      <c r="AI517" s="3" t="s">
        <v>1559</v>
      </c>
      <c r="AJ517" s="3" t="s">
        <v>1291</v>
      </c>
      <c r="AK517" s="3" t="s">
        <v>1560</v>
      </c>
      <c r="AL517" s="3" t="s">
        <v>1291</v>
      </c>
      <c r="AM517" s="3" t="s">
        <v>1291</v>
      </c>
      <c r="AN517" s="3" t="s">
        <v>1291</v>
      </c>
      <c r="AO517" s="3" t="s">
        <v>1291</v>
      </c>
      <c r="AP517" s="3" t="s">
        <v>1291</v>
      </c>
      <c r="AQ517" s="3" t="s">
        <v>1291</v>
      </c>
      <c r="AR517" s="3" t="s">
        <v>1291</v>
      </c>
      <c r="AS517" s="3" t="s">
        <v>1291</v>
      </c>
      <c r="AT517" s="3" t="s">
        <v>1291</v>
      </c>
      <c r="AU517" s="3" t="s">
        <v>1291</v>
      </c>
      <c r="AV517" s="3" t="s">
        <v>1291</v>
      </c>
      <c r="AW517" s="3" t="s">
        <v>1291</v>
      </c>
      <c r="AX517" s="3" t="s">
        <v>1291</v>
      </c>
      <c r="AY517" s="3" t="s">
        <v>1291</v>
      </c>
      <c r="AZ517" s="3" t="s">
        <v>1291</v>
      </c>
      <c r="BA517" s="3" t="s">
        <v>1291</v>
      </c>
      <c r="BB517" s="3" t="s">
        <v>1291</v>
      </c>
      <c r="BC517" s="3" t="s">
        <v>1291</v>
      </c>
      <c r="BD517" s="3" t="s">
        <v>1291</v>
      </c>
      <c r="BE517" s="3" t="s">
        <v>1291</v>
      </c>
      <c r="BF517" s="3" t="s">
        <v>1291</v>
      </c>
    </row>
    <row r="518" spans="1:58" x14ac:dyDescent="0.3">
      <c r="A518" s="3" t="s">
        <v>1291</v>
      </c>
      <c r="B518" s="3" t="s">
        <v>1291</v>
      </c>
      <c r="C518" s="3" t="s">
        <v>1291</v>
      </c>
      <c r="D518" s="3" t="s">
        <v>1291</v>
      </c>
      <c r="E518" s="3" t="s">
        <v>1291</v>
      </c>
      <c r="F518" s="3" t="s">
        <v>1291</v>
      </c>
      <c r="G518" s="3" t="s">
        <v>1291</v>
      </c>
      <c r="H518" s="3" t="s">
        <v>1291</v>
      </c>
      <c r="I518" s="3" t="s">
        <v>1291</v>
      </c>
      <c r="J518" s="3" t="s">
        <v>1561</v>
      </c>
      <c r="K518" s="3" t="s">
        <v>1291</v>
      </c>
      <c r="L518" s="3" t="s">
        <v>1291</v>
      </c>
      <c r="M518" s="3" t="s">
        <v>1291</v>
      </c>
      <c r="N518" s="3" t="s">
        <v>1291</v>
      </c>
      <c r="O518" s="3" t="s">
        <v>1291</v>
      </c>
      <c r="P518" s="3" t="s">
        <v>1291</v>
      </c>
      <c r="Q518" s="3" t="s">
        <v>1291</v>
      </c>
      <c r="R518" s="3" t="s">
        <v>1291</v>
      </c>
      <c r="S518" s="3" t="s">
        <v>1291</v>
      </c>
      <c r="T518" s="3" t="s">
        <v>1291</v>
      </c>
      <c r="U518" s="3" t="s">
        <v>1562</v>
      </c>
      <c r="V518" s="3" t="s">
        <v>1291</v>
      </c>
      <c r="W518" s="3" t="s">
        <v>1291</v>
      </c>
      <c r="X518" s="3" t="s">
        <v>1291</v>
      </c>
      <c r="Y518" s="3" t="s">
        <v>1291</v>
      </c>
      <c r="Z518" s="3" t="s">
        <v>1291</v>
      </c>
      <c r="AA518" s="3" t="s">
        <v>1291</v>
      </c>
      <c r="AB518" s="3" t="s">
        <v>1563</v>
      </c>
      <c r="AC518" s="3" t="s">
        <v>1291</v>
      </c>
      <c r="AD518" s="3" t="s">
        <v>1291</v>
      </c>
      <c r="AE518" s="3" t="s">
        <v>1291</v>
      </c>
      <c r="AF518" s="3" t="s">
        <v>1291</v>
      </c>
      <c r="AG518" s="3" t="s">
        <v>1291</v>
      </c>
      <c r="AH518" s="3" t="s">
        <v>1291</v>
      </c>
      <c r="AI518" s="3" t="s">
        <v>1564</v>
      </c>
      <c r="AJ518" s="3" t="s">
        <v>1291</v>
      </c>
      <c r="AK518" s="3" t="s">
        <v>1565</v>
      </c>
      <c r="AL518" s="3" t="s">
        <v>1291</v>
      </c>
      <c r="AM518" s="3" t="s">
        <v>1291</v>
      </c>
      <c r="AN518" s="3" t="s">
        <v>1291</v>
      </c>
      <c r="AO518" s="3" t="s">
        <v>1291</v>
      </c>
      <c r="AP518" s="3" t="s">
        <v>1291</v>
      </c>
      <c r="AQ518" s="3" t="s">
        <v>1291</v>
      </c>
      <c r="AR518" s="3" t="s">
        <v>1291</v>
      </c>
      <c r="AS518" s="3" t="s">
        <v>1291</v>
      </c>
      <c r="AT518" s="3" t="s">
        <v>1291</v>
      </c>
      <c r="AU518" s="3" t="s">
        <v>1291</v>
      </c>
      <c r="AV518" s="3" t="s">
        <v>1291</v>
      </c>
      <c r="AW518" s="3" t="s">
        <v>1291</v>
      </c>
      <c r="AX518" s="3" t="s">
        <v>1291</v>
      </c>
      <c r="AY518" s="3" t="s">
        <v>1291</v>
      </c>
      <c r="AZ518" s="3" t="s">
        <v>1291</v>
      </c>
      <c r="BA518" s="3" t="s">
        <v>1291</v>
      </c>
      <c r="BB518" s="3" t="s">
        <v>1291</v>
      </c>
      <c r="BC518" s="3" t="s">
        <v>1291</v>
      </c>
      <c r="BD518" s="3" t="s">
        <v>1291</v>
      </c>
      <c r="BE518" s="3" t="s">
        <v>1291</v>
      </c>
      <c r="BF518" s="3" t="s">
        <v>1291</v>
      </c>
    </row>
    <row r="519" spans="1:58" x14ac:dyDescent="0.3">
      <c r="A519" s="3" t="s">
        <v>1291</v>
      </c>
      <c r="B519" s="3" t="s">
        <v>1291</v>
      </c>
      <c r="C519" s="3" t="s">
        <v>1291</v>
      </c>
      <c r="D519" s="3" t="s">
        <v>1291</v>
      </c>
      <c r="E519" s="3" t="s">
        <v>1291</v>
      </c>
      <c r="F519" s="3" t="s">
        <v>1291</v>
      </c>
      <c r="G519" s="3" t="s">
        <v>1291</v>
      </c>
      <c r="H519" s="3" t="s">
        <v>1291</v>
      </c>
      <c r="I519" s="3" t="s">
        <v>1291</v>
      </c>
      <c r="J519" s="3" t="s">
        <v>1566</v>
      </c>
      <c r="K519" s="3" t="s">
        <v>1291</v>
      </c>
      <c r="L519" s="3" t="s">
        <v>1291</v>
      </c>
      <c r="M519" s="3" t="s">
        <v>1291</v>
      </c>
      <c r="N519" s="3" t="s">
        <v>1291</v>
      </c>
      <c r="O519" s="3" t="s">
        <v>1291</v>
      </c>
      <c r="P519" s="3" t="s">
        <v>1291</v>
      </c>
      <c r="Q519" s="3" t="s">
        <v>1291</v>
      </c>
      <c r="R519" s="3" t="s">
        <v>1291</v>
      </c>
      <c r="S519" s="3" t="s">
        <v>1291</v>
      </c>
      <c r="T519" s="3" t="s">
        <v>1291</v>
      </c>
      <c r="U519" s="3" t="s">
        <v>1567</v>
      </c>
      <c r="V519" s="3" t="s">
        <v>1291</v>
      </c>
      <c r="W519" s="3" t="s">
        <v>1291</v>
      </c>
      <c r="X519" s="3" t="s">
        <v>1291</v>
      </c>
      <c r="Y519" s="3" t="s">
        <v>1291</v>
      </c>
      <c r="Z519" s="3" t="s">
        <v>1291</v>
      </c>
      <c r="AA519" s="3" t="s">
        <v>1291</v>
      </c>
      <c r="AB519" s="3" t="s">
        <v>1568</v>
      </c>
      <c r="AC519" s="3" t="s">
        <v>1291</v>
      </c>
      <c r="AD519" s="3" t="s">
        <v>1291</v>
      </c>
      <c r="AE519" s="3" t="s">
        <v>1291</v>
      </c>
      <c r="AF519" s="3" t="s">
        <v>1291</v>
      </c>
      <c r="AG519" s="3" t="s">
        <v>1291</v>
      </c>
      <c r="AH519" s="3" t="s">
        <v>1291</v>
      </c>
      <c r="AI519" s="3" t="s">
        <v>1569</v>
      </c>
      <c r="AJ519" s="3" t="s">
        <v>1291</v>
      </c>
      <c r="AK519" s="3" t="s">
        <v>1570</v>
      </c>
      <c r="AL519" s="3" t="s">
        <v>1291</v>
      </c>
      <c r="AM519" s="3" t="s">
        <v>1291</v>
      </c>
      <c r="AN519" s="3" t="s">
        <v>1291</v>
      </c>
      <c r="AO519" s="3" t="s">
        <v>1291</v>
      </c>
      <c r="AP519" s="3" t="s">
        <v>1291</v>
      </c>
      <c r="AQ519" s="3" t="s">
        <v>1291</v>
      </c>
      <c r="AR519" s="3" t="s">
        <v>1291</v>
      </c>
      <c r="AS519" s="3" t="s">
        <v>1291</v>
      </c>
      <c r="AT519" s="3" t="s">
        <v>1291</v>
      </c>
      <c r="AU519" s="3" t="s">
        <v>1291</v>
      </c>
      <c r="AV519" s="3" t="s">
        <v>1291</v>
      </c>
      <c r="AW519" s="3" t="s">
        <v>1291</v>
      </c>
      <c r="AX519" s="3" t="s">
        <v>1291</v>
      </c>
      <c r="AY519" s="3" t="s">
        <v>1291</v>
      </c>
      <c r="AZ519" s="3" t="s">
        <v>1291</v>
      </c>
      <c r="BA519" s="3" t="s">
        <v>1291</v>
      </c>
      <c r="BB519" s="3" t="s">
        <v>1291</v>
      </c>
      <c r="BC519" s="3" t="s">
        <v>1291</v>
      </c>
      <c r="BD519" s="3" t="s">
        <v>1291</v>
      </c>
      <c r="BE519" s="3" t="s">
        <v>1291</v>
      </c>
      <c r="BF519" s="3" t="s">
        <v>1291</v>
      </c>
    </row>
    <row r="520" spans="1:58" x14ac:dyDescent="0.3">
      <c r="A520" s="3" t="s">
        <v>1291</v>
      </c>
      <c r="B520" s="3" t="s">
        <v>1291</v>
      </c>
      <c r="C520" s="3" t="s">
        <v>1291</v>
      </c>
      <c r="D520" s="3" t="s">
        <v>1291</v>
      </c>
      <c r="E520" s="3" t="s">
        <v>1291</v>
      </c>
      <c r="F520" s="3" t="s">
        <v>1291</v>
      </c>
      <c r="G520" s="3" t="s">
        <v>1291</v>
      </c>
      <c r="H520" s="3" t="s">
        <v>1291</v>
      </c>
      <c r="I520" s="3" t="s">
        <v>1291</v>
      </c>
      <c r="J520" s="3" t="s">
        <v>1571</v>
      </c>
      <c r="K520" s="3" t="s">
        <v>1291</v>
      </c>
      <c r="L520" s="3" t="s">
        <v>1291</v>
      </c>
      <c r="M520" s="3" t="s">
        <v>1291</v>
      </c>
      <c r="N520" s="3" t="s">
        <v>1291</v>
      </c>
      <c r="O520" s="3" t="s">
        <v>1291</v>
      </c>
      <c r="P520" s="3" t="s">
        <v>1291</v>
      </c>
      <c r="Q520" s="3" t="s">
        <v>1291</v>
      </c>
      <c r="R520" s="3" t="s">
        <v>1291</v>
      </c>
      <c r="S520" s="3" t="s">
        <v>1291</v>
      </c>
      <c r="T520" s="3" t="s">
        <v>1291</v>
      </c>
      <c r="U520" s="3" t="s">
        <v>1572</v>
      </c>
      <c r="V520" s="3" t="s">
        <v>1291</v>
      </c>
      <c r="W520" s="3" t="s">
        <v>1291</v>
      </c>
      <c r="X520" s="3" t="s">
        <v>1291</v>
      </c>
      <c r="Y520" s="3" t="s">
        <v>1291</v>
      </c>
      <c r="Z520" s="3" t="s">
        <v>1291</v>
      </c>
      <c r="AA520" s="3" t="s">
        <v>1291</v>
      </c>
      <c r="AB520" s="3" t="s">
        <v>1573</v>
      </c>
      <c r="AC520" s="3" t="s">
        <v>1291</v>
      </c>
      <c r="AD520" s="3" t="s">
        <v>1291</v>
      </c>
      <c r="AE520" s="3" t="s">
        <v>1291</v>
      </c>
      <c r="AF520" s="3" t="s">
        <v>1291</v>
      </c>
      <c r="AG520" s="3" t="s">
        <v>1291</v>
      </c>
      <c r="AH520" s="3" t="s">
        <v>1291</v>
      </c>
      <c r="AI520" s="3" t="s">
        <v>1291</v>
      </c>
      <c r="AJ520" s="3" t="s">
        <v>1291</v>
      </c>
      <c r="AK520" s="3" t="s">
        <v>1574</v>
      </c>
      <c r="AL520" s="3" t="s">
        <v>1291</v>
      </c>
      <c r="AM520" s="3" t="s">
        <v>1291</v>
      </c>
      <c r="AN520" s="3" t="s">
        <v>1291</v>
      </c>
      <c r="AO520" s="3" t="s">
        <v>1291</v>
      </c>
      <c r="AP520" s="3" t="s">
        <v>1291</v>
      </c>
      <c r="AQ520" s="3" t="s">
        <v>1291</v>
      </c>
      <c r="AR520" s="3" t="s">
        <v>1291</v>
      </c>
      <c r="AS520" s="3" t="s">
        <v>1291</v>
      </c>
      <c r="AT520" s="3" t="s">
        <v>1291</v>
      </c>
      <c r="AU520" s="3" t="s">
        <v>1291</v>
      </c>
      <c r="AV520" s="3" t="s">
        <v>1291</v>
      </c>
      <c r="AW520" s="3" t="s">
        <v>1291</v>
      </c>
      <c r="AX520" s="3" t="s">
        <v>1291</v>
      </c>
      <c r="AY520" s="3" t="s">
        <v>1291</v>
      </c>
      <c r="AZ520" s="3" t="s">
        <v>1291</v>
      </c>
      <c r="BA520" s="3" t="s">
        <v>1291</v>
      </c>
      <c r="BB520" s="3" t="s">
        <v>1291</v>
      </c>
      <c r="BC520" s="3" t="s">
        <v>1291</v>
      </c>
      <c r="BD520" s="3" t="s">
        <v>1291</v>
      </c>
      <c r="BE520" s="3" t="s">
        <v>1291</v>
      </c>
      <c r="BF520" s="3" t="s">
        <v>1291</v>
      </c>
    </row>
    <row r="521" spans="1:58" x14ac:dyDescent="0.3">
      <c r="A521" s="3" t="s">
        <v>1291</v>
      </c>
      <c r="B521" s="3" t="s">
        <v>1291</v>
      </c>
      <c r="C521" s="3" t="s">
        <v>1291</v>
      </c>
      <c r="D521" s="3" t="s">
        <v>1291</v>
      </c>
      <c r="E521" s="3" t="s">
        <v>1291</v>
      </c>
      <c r="F521" s="3" t="s">
        <v>1291</v>
      </c>
      <c r="G521" s="3" t="s">
        <v>1291</v>
      </c>
      <c r="H521" s="3" t="s">
        <v>1291</v>
      </c>
      <c r="I521" s="3" t="s">
        <v>1291</v>
      </c>
      <c r="J521" s="3" t="s">
        <v>1575</v>
      </c>
      <c r="K521" s="3" t="s">
        <v>1291</v>
      </c>
      <c r="L521" s="3" t="s">
        <v>1291</v>
      </c>
      <c r="M521" s="3" t="s">
        <v>1291</v>
      </c>
      <c r="N521" s="3" t="s">
        <v>1291</v>
      </c>
      <c r="O521" s="3" t="s">
        <v>1291</v>
      </c>
      <c r="P521" s="3" t="s">
        <v>1291</v>
      </c>
      <c r="Q521" s="3" t="s">
        <v>1291</v>
      </c>
      <c r="R521" s="3" t="s">
        <v>1291</v>
      </c>
      <c r="S521" s="3" t="s">
        <v>1291</v>
      </c>
      <c r="T521" s="3" t="s">
        <v>1291</v>
      </c>
      <c r="U521" s="3" t="s">
        <v>1576</v>
      </c>
      <c r="V521" s="3" t="s">
        <v>1291</v>
      </c>
      <c r="W521" s="3" t="s">
        <v>1291</v>
      </c>
      <c r="X521" s="3" t="s">
        <v>1291</v>
      </c>
      <c r="Y521" s="3" t="s">
        <v>1291</v>
      </c>
      <c r="Z521" s="3" t="s">
        <v>1291</v>
      </c>
      <c r="AA521" s="3" t="s">
        <v>1291</v>
      </c>
      <c r="AB521" s="3" t="s">
        <v>1577</v>
      </c>
      <c r="AC521" s="3" t="s">
        <v>1291</v>
      </c>
      <c r="AD521" s="3" t="s">
        <v>1291</v>
      </c>
      <c r="AE521" s="3" t="s">
        <v>1291</v>
      </c>
      <c r="AF521" s="3" t="s">
        <v>1291</v>
      </c>
      <c r="AG521" s="3" t="s">
        <v>1291</v>
      </c>
      <c r="AH521" s="3" t="s">
        <v>1291</v>
      </c>
      <c r="AI521" s="3" t="s">
        <v>1291</v>
      </c>
      <c r="AJ521" s="3" t="s">
        <v>1291</v>
      </c>
      <c r="AK521" s="3" t="s">
        <v>1578</v>
      </c>
      <c r="AL521" s="3" t="s">
        <v>1291</v>
      </c>
      <c r="AM521" s="3" t="s">
        <v>1291</v>
      </c>
      <c r="AN521" s="3" t="s">
        <v>1291</v>
      </c>
      <c r="AO521" s="3" t="s">
        <v>1291</v>
      </c>
      <c r="AP521" s="3" t="s">
        <v>1291</v>
      </c>
      <c r="AQ521" s="3" t="s">
        <v>1291</v>
      </c>
      <c r="AR521" s="3" t="s">
        <v>1291</v>
      </c>
      <c r="AS521" s="3" t="s">
        <v>1291</v>
      </c>
      <c r="AT521" s="3" t="s">
        <v>1291</v>
      </c>
      <c r="AU521" s="3" t="s">
        <v>1291</v>
      </c>
      <c r="AV521" s="3" t="s">
        <v>1291</v>
      </c>
      <c r="AW521" s="3" t="s">
        <v>1291</v>
      </c>
      <c r="AX521" s="3" t="s">
        <v>1291</v>
      </c>
      <c r="AY521" s="3" t="s">
        <v>1291</v>
      </c>
      <c r="AZ521" s="3" t="s">
        <v>1291</v>
      </c>
      <c r="BA521" s="3" t="s">
        <v>1291</v>
      </c>
      <c r="BB521" s="3" t="s">
        <v>1291</v>
      </c>
      <c r="BC521" s="3" t="s">
        <v>1291</v>
      </c>
      <c r="BD521" s="3" t="s">
        <v>1291</v>
      </c>
      <c r="BE521" s="3" t="s">
        <v>1291</v>
      </c>
      <c r="BF521" s="3" t="s">
        <v>1291</v>
      </c>
    </row>
    <row r="522" spans="1:58" x14ac:dyDescent="0.3">
      <c r="A522" s="3" t="s">
        <v>1291</v>
      </c>
      <c r="B522" s="3" t="s">
        <v>1291</v>
      </c>
      <c r="C522" s="3" t="s">
        <v>1291</v>
      </c>
      <c r="D522" s="3" t="s">
        <v>1291</v>
      </c>
      <c r="E522" s="3" t="s">
        <v>1291</v>
      </c>
      <c r="F522" s="3" t="s">
        <v>1291</v>
      </c>
      <c r="G522" s="3" t="s">
        <v>1291</v>
      </c>
      <c r="H522" s="3" t="s">
        <v>1291</v>
      </c>
      <c r="I522" s="3" t="s">
        <v>1291</v>
      </c>
      <c r="J522" s="3" t="s">
        <v>1579</v>
      </c>
      <c r="K522" s="3" t="s">
        <v>1291</v>
      </c>
      <c r="L522" s="3" t="s">
        <v>1291</v>
      </c>
      <c r="M522" s="3" t="s">
        <v>1291</v>
      </c>
      <c r="N522" s="3" t="s">
        <v>1291</v>
      </c>
      <c r="O522" s="3" t="s">
        <v>1291</v>
      </c>
      <c r="P522" s="3" t="s">
        <v>1291</v>
      </c>
      <c r="Q522" s="3" t="s">
        <v>1291</v>
      </c>
      <c r="R522" s="3" t="s">
        <v>1291</v>
      </c>
      <c r="S522" s="3" t="s">
        <v>1291</v>
      </c>
      <c r="T522" s="3" t="s">
        <v>1291</v>
      </c>
      <c r="U522" s="3" t="s">
        <v>1580</v>
      </c>
      <c r="V522" s="3" t="s">
        <v>1291</v>
      </c>
      <c r="W522" s="3" t="s">
        <v>1291</v>
      </c>
      <c r="X522" s="3" t="s">
        <v>1291</v>
      </c>
      <c r="Y522" s="3" t="s">
        <v>1291</v>
      </c>
      <c r="Z522" s="3" t="s">
        <v>1291</v>
      </c>
      <c r="AA522" s="3" t="s">
        <v>1291</v>
      </c>
      <c r="AB522" s="3" t="s">
        <v>1581</v>
      </c>
      <c r="AC522" s="3" t="s">
        <v>1291</v>
      </c>
      <c r="AD522" s="3" t="s">
        <v>1291</v>
      </c>
      <c r="AE522" s="3" t="s">
        <v>1291</v>
      </c>
      <c r="AF522" s="3" t="s">
        <v>1291</v>
      </c>
      <c r="AG522" s="3" t="s">
        <v>1291</v>
      </c>
      <c r="AH522" s="3" t="s">
        <v>1291</v>
      </c>
      <c r="AI522" s="3" t="s">
        <v>1291</v>
      </c>
      <c r="AJ522" s="3" t="s">
        <v>1291</v>
      </c>
      <c r="AK522" s="3" t="s">
        <v>1582</v>
      </c>
      <c r="AL522" s="3" t="s">
        <v>1291</v>
      </c>
      <c r="AM522" s="3" t="s">
        <v>1291</v>
      </c>
      <c r="AN522" s="3" t="s">
        <v>1291</v>
      </c>
      <c r="AO522" s="3" t="s">
        <v>1291</v>
      </c>
      <c r="AP522" s="3" t="s">
        <v>1291</v>
      </c>
      <c r="AQ522" s="3" t="s">
        <v>1291</v>
      </c>
      <c r="AR522" s="3" t="s">
        <v>1291</v>
      </c>
      <c r="AS522" s="3" t="s">
        <v>1291</v>
      </c>
      <c r="AT522" s="3" t="s">
        <v>1291</v>
      </c>
      <c r="AU522" s="3" t="s">
        <v>1291</v>
      </c>
      <c r="AV522" s="3" t="s">
        <v>1291</v>
      </c>
      <c r="AW522" s="3" t="s">
        <v>1291</v>
      </c>
      <c r="AX522" s="3" t="s">
        <v>1291</v>
      </c>
      <c r="AY522" s="3" t="s">
        <v>1291</v>
      </c>
      <c r="AZ522" s="3" t="s">
        <v>1291</v>
      </c>
      <c r="BA522" s="3" t="s">
        <v>1291</v>
      </c>
      <c r="BB522" s="3" t="s">
        <v>1291</v>
      </c>
      <c r="BC522" s="3" t="s">
        <v>1291</v>
      </c>
      <c r="BD522" s="3" t="s">
        <v>1291</v>
      </c>
      <c r="BE522" s="3" t="s">
        <v>1291</v>
      </c>
      <c r="BF522" s="3" t="s">
        <v>1291</v>
      </c>
    </row>
    <row r="523" spans="1:58" x14ac:dyDescent="0.3">
      <c r="A523" s="3" t="s">
        <v>1291</v>
      </c>
      <c r="B523" s="3" t="s">
        <v>1291</v>
      </c>
      <c r="C523" s="3" t="s">
        <v>1291</v>
      </c>
      <c r="D523" s="3" t="s">
        <v>1291</v>
      </c>
      <c r="E523" s="3" t="s">
        <v>1291</v>
      </c>
      <c r="F523" s="3" t="s">
        <v>1291</v>
      </c>
      <c r="G523" s="3" t="s">
        <v>1291</v>
      </c>
      <c r="H523" s="3" t="s">
        <v>1291</v>
      </c>
      <c r="I523" s="3" t="s">
        <v>1291</v>
      </c>
      <c r="J523" s="3" t="s">
        <v>1583</v>
      </c>
      <c r="K523" s="3" t="s">
        <v>1291</v>
      </c>
      <c r="L523" s="3" t="s">
        <v>1291</v>
      </c>
      <c r="M523" s="3" t="s">
        <v>1291</v>
      </c>
      <c r="N523" s="3" t="s">
        <v>1291</v>
      </c>
      <c r="O523" s="3" t="s">
        <v>1291</v>
      </c>
      <c r="P523" s="3" t="s">
        <v>1291</v>
      </c>
      <c r="Q523" s="3" t="s">
        <v>1291</v>
      </c>
      <c r="R523" s="3" t="s">
        <v>1291</v>
      </c>
      <c r="S523" s="3" t="s">
        <v>1291</v>
      </c>
      <c r="T523" s="3" t="s">
        <v>1291</v>
      </c>
      <c r="U523" s="3" t="s">
        <v>1584</v>
      </c>
      <c r="V523" s="3" t="s">
        <v>1291</v>
      </c>
      <c r="W523" s="3" t="s">
        <v>1291</v>
      </c>
      <c r="X523" s="3" t="s">
        <v>1291</v>
      </c>
      <c r="Y523" s="3" t="s">
        <v>1291</v>
      </c>
      <c r="Z523" s="3" t="s">
        <v>1291</v>
      </c>
      <c r="AA523" s="3" t="s">
        <v>1291</v>
      </c>
      <c r="AB523" s="3" t="s">
        <v>1585</v>
      </c>
      <c r="AC523" s="3" t="s">
        <v>1291</v>
      </c>
      <c r="AD523" s="3" t="s">
        <v>1291</v>
      </c>
      <c r="AE523" s="3" t="s">
        <v>1291</v>
      </c>
      <c r="AF523" s="3" t="s">
        <v>1291</v>
      </c>
      <c r="AG523" s="3" t="s">
        <v>1291</v>
      </c>
      <c r="AH523" s="3" t="s">
        <v>1291</v>
      </c>
      <c r="AI523" s="3" t="s">
        <v>1291</v>
      </c>
      <c r="AJ523" s="3" t="s">
        <v>1291</v>
      </c>
      <c r="AK523" s="3" t="s">
        <v>1586</v>
      </c>
      <c r="AL523" s="3" t="s">
        <v>1291</v>
      </c>
      <c r="AM523" s="3" t="s">
        <v>1291</v>
      </c>
      <c r="AN523" s="3" t="s">
        <v>1291</v>
      </c>
      <c r="AO523" s="3" t="s">
        <v>1291</v>
      </c>
      <c r="AP523" s="3" t="s">
        <v>1291</v>
      </c>
      <c r="AQ523" s="3" t="s">
        <v>1291</v>
      </c>
      <c r="AR523" s="3" t="s">
        <v>1291</v>
      </c>
      <c r="AS523" s="3" t="s">
        <v>1291</v>
      </c>
      <c r="AT523" s="3" t="s">
        <v>1291</v>
      </c>
      <c r="AU523" s="3" t="s">
        <v>1291</v>
      </c>
      <c r="AV523" s="3" t="s">
        <v>1291</v>
      </c>
      <c r="AW523" s="3" t="s">
        <v>1291</v>
      </c>
      <c r="AX523" s="3" t="s">
        <v>1291</v>
      </c>
      <c r="AY523" s="3" t="s">
        <v>1291</v>
      </c>
      <c r="AZ523" s="3" t="s">
        <v>1291</v>
      </c>
      <c r="BA523" s="3" t="s">
        <v>1291</v>
      </c>
      <c r="BB523" s="3" t="s">
        <v>1291</v>
      </c>
      <c r="BC523" s="3" t="s">
        <v>1291</v>
      </c>
      <c r="BD523" s="3" t="s">
        <v>1291</v>
      </c>
      <c r="BE523" s="3" t="s">
        <v>1291</v>
      </c>
      <c r="BF523" s="3" t="s">
        <v>1291</v>
      </c>
    </row>
    <row r="524" spans="1:58" x14ac:dyDescent="0.3">
      <c r="A524" s="3" t="s">
        <v>1291</v>
      </c>
      <c r="B524" s="3" t="s">
        <v>1291</v>
      </c>
      <c r="C524" s="3" t="s">
        <v>1291</v>
      </c>
      <c r="D524" s="3" t="s">
        <v>1291</v>
      </c>
      <c r="E524" s="3" t="s">
        <v>1291</v>
      </c>
      <c r="F524" s="3" t="s">
        <v>1291</v>
      </c>
      <c r="G524" s="3" t="s">
        <v>1291</v>
      </c>
      <c r="H524" s="3" t="s">
        <v>1291</v>
      </c>
      <c r="I524" s="3" t="s">
        <v>1291</v>
      </c>
      <c r="J524" s="3" t="s">
        <v>1587</v>
      </c>
      <c r="K524" s="3" t="s">
        <v>1291</v>
      </c>
      <c r="L524" s="3" t="s">
        <v>1291</v>
      </c>
      <c r="M524" s="3" t="s">
        <v>1291</v>
      </c>
      <c r="N524" s="3" t="s">
        <v>1291</v>
      </c>
      <c r="O524" s="3" t="s">
        <v>1291</v>
      </c>
      <c r="P524" s="3" t="s">
        <v>1291</v>
      </c>
      <c r="Q524" s="3" t="s">
        <v>1291</v>
      </c>
      <c r="R524" s="3" t="s">
        <v>1291</v>
      </c>
      <c r="S524" s="3" t="s">
        <v>1291</v>
      </c>
      <c r="T524" s="3" t="s">
        <v>1291</v>
      </c>
      <c r="U524" s="3" t="s">
        <v>1588</v>
      </c>
      <c r="V524" s="3" t="s">
        <v>1291</v>
      </c>
      <c r="W524" s="3" t="s">
        <v>1291</v>
      </c>
      <c r="X524" s="3" t="s">
        <v>1291</v>
      </c>
      <c r="Y524" s="3" t="s">
        <v>1291</v>
      </c>
      <c r="Z524" s="3" t="s">
        <v>1291</v>
      </c>
      <c r="AA524" s="3" t="s">
        <v>1291</v>
      </c>
      <c r="AB524" s="3" t="s">
        <v>1589</v>
      </c>
      <c r="AC524" s="3" t="s">
        <v>1291</v>
      </c>
      <c r="AD524" s="3" t="s">
        <v>1291</v>
      </c>
      <c r="AE524" s="3" t="s">
        <v>1291</v>
      </c>
      <c r="AF524" s="3" t="s">
        <v>1291</v>
      </c>
      <c r="AG524" s="3" t="s">
        <v>1291</v>
      </c>
      <c r="AH524" s="3" t="s">
        <v>1291</v>
      </c>
      <c r="AI524" s="3" t="s">
        <v>1291</v>
      </c>
      <c r="AJ524" s="3" t="s">
        <v>1291</v>
      </c>
      <c r="AK524" s="3" t="s">
        <v>1590</v>
      </c>
      <c r="AL524" s="3" t="s">
        <v>1291</v>
      </c>
      <c r="AM524" s="3" t="s">
        <v>1291</v>
      </c>
      <c r="AN524" s="3" t="s">
        <v>1291</v>
      </c>
      <c r="AO524" s="3" t="s">
        <v>1291</v>
      </c>
      <c r="AP524" s="3" t="s">
        <v>1291</v>
      </c>
      <c r="AQ524" s="3" t="s">
        <v>1291</v>
      </c>
      <c r="AR524" s="3" t="s">
        <v>1291</v>
      </c>
      <c r="AS524" s="3" t="s">
        <v>1291</v>
      </c>
      <c r="AT524" s="3" t="s">
        <v>1291</v>
      </c>
      <c r="AU524" s="3" t="s">
        <v>1291</v>
      </c>
      <c r="AV524" s="3" t="s">
        <v>1291</v>
      </c>
      <c r="AW524" s="3" t="s">
        <v>1291</v>
      </c>
      <c r="AX524" s="3" t="s">
        <v>1291</v>
      </c>
      <c r="AY524" s="3" t="s">
        <v>1291</v>
      </c>
      <c r="AZ524" s="3" t="s">
        <v>1291</v>
      </c>
      <c r="BA524" s="3" t="s">
        <v>1291</v>
      </c>
      <c r="BB524" s="3" t="s">
        <v>1291</v>
      </c>
      <c r="BC524" s="3" t="s">
        <v>1291</v>
      </c>
      <c r="BD524" s="3" t="s">
        <v>1291</v>
      </c>
      <c r="BE524" s="3" t="s">
        <v>1291</v>
      </c>
      <c r="BF524" s="3" t="s">
        <v>1291</v>
      </c>
    </row>
    <row r="525" spans="1:58" x14ac:dyDescent="0.3">
      <c r="A525" s="3" t="s">
        <v>1291</v>
      </c>
      <c r="B525" s="3" t="s">
        <v>1291</v>
      </c>
      <c r="C525" s="3" t="s">
        <v>1291</v>
      </c>
      <c r="D525" s="3" t="s">
        <v>1291</v>
      </c>
      <c r="E525" s="3" t="s">
        <v>1291</v>
      </c>
      <c r="F525" s="3" t="s">
        <v>1291</v>
      </c>
      <c r="G525" s="3" t="s">
        <v>1291</v>
      </c>
      <c r="H525" s="3" t="s">
        <v>1291</v>
      </c>
      <c r="I525" s="3" t="s">
        <v>1291</v>
      </c>
      <c r="J525" s="3" t="s">
        <v>1591</v>
      </c>
      <c r="K525" s="3" t="s">
        <v>1291</v>
      </c>
      <c r="L525" s="3" t="s">
        <v>1291</v>
      </c>
      <c r="M525" s="3" t="s">
        <v>1291</v>
      </c>
      <c r="N525" s="3" t="s">
        <v>1291</v>
      </c>
      <c r="O525" s="3" t="s">
        <v>1291</v>
      </c>
      <c r="P525" s="3" t="s">
        <v>1291</v>
      </c>
      <c r="Q525" s="3" t="s">
        <v>1291</v>
      </c>
      <c r="R525" s="3" t="s">
        <v>1291</v>
      </c>
      <c r="S525" s="3" t="s">
        <v>1291</v>
      </c>
      <c r="T525" s="3" t="s">
        <v>1291</v>
      </c>
      <c r="U525" s="3" t="s">
        <v>1592</v>
      </c>
      <c r="V525" s="3" t="s">
        <v>1291</v>
      </c>
      <c r="W525" s="3" t="s">
        <v>1291</v>
      </c>
      <c r="X525" s="3" t="s">
        <v>1291</v>
      </c>
      <c r="Y525" s="3" t="s">
        <v>1291</v>
      </c>
      <c r="Z525" s="3" t="s">
        <v>1291</v>
      </c>
      <c r="AA525" s="3" t="s">
        <v>1291</v>
      </c>
      <c r="AB525" s="3" t="s">
        <v>1593</v>
      </c>
      <c r="AC525" s="3" t="s">
        <v>1291</v>
      </c>
      <c r="AD525" s="3" t="s">
        <v>1291</v>
      </c>
      <c r="AE525" s="3" t="s">
        <v>1291</v>
      </c>
      <c r="AF525" s="3" t="s">
        <v>1291</v>
      </c>
      <c r="AG525" s="3" t="s">
        <v>1291</v>
      </c>
      <c r="AH525" s="3" t="s">
        <v>1291</v>
      </c>
      <c r="AI525" s="3" t="s">
        <v>1291</v>
      </c>
      <c r="AJ525" s="3" t="s">
        <v>1291</v>
      </c>
      <c r="AK525" s="3" t="s">
        <v>1594</v>
      </c>
      <c r="AL525" s="3" t="s">
        <v>1291</v>
      </c>
      <c r="AM525" s="3" t="s">
        <v>1291</v>
      </c>
      <c r="AN525" s="3" t="s">
        <v>1291</v>
      </c>
      <c r="AO525" s="3" t="s">
        <v>1291</v>
      </c>
      <c r="AP525" s="3" t="s">
        <v>1291</v>
      </c>
      <c r="AQ525" s="3" t="s">
        <v>1291</v>
      </c>
      <c r="AR525" s="3" t="s">
        <v>1291</v>
      </c>
      <c r="AS525" s="3" t="s">
        <v>1291</v>
      </c>
      <c r="AT525" s="3" t="s">
        <v>1291</v>
      </c>
      <c r="AU525" s="3" t="s">
        <v>1291</v>
      </c>
      <c r="AV525" s="3" t="s">
        <v>1291</v>
      </c>
      <c r="AW525" s="3" t="s">
        <v>1291</v>
      </c>
      <c r="AX525" s="3" t="s">
        <v>1291</v>
      </c>
      <c r="AY525" s="3" t="s">
        <v>1291</v>
      </c>
      <c r="AZ525" s="3" t="s">
        <v>1291</v>
      </c>
      <c r="BA525" s="3" t="s">
        <v>1291</v>
      </c>
      <c r="BB525" s="3" t="s">
        <v>1291</v>
      </c>
      <c r="BC525" s="3" t="s">
        <v>1291</v>
      </c>
      <c r="BD525" s="3" t="s">
        <v>1291</v>
      </c>
      <c r="BE525" s="3" t="s">
        <v>1291</v>
      </c>
      <c r="BF525" s="3" t="s">
        <v>1291</v>
      </c>
    </row>
    <row r="526" spans="1:58" x14ac:dyDescent="0.3">
      <c r="A526" s="3" t="s">
        <v>1291</v>
      </c>
      <c r="B526" s="3" t="s">
        <v>1291</v>
      </c>
      <c r="C526" s="3" t="s">
        <v>1291</v>
      </c>
      <c r="D526" s="3" t="s">
        <v>1291</v>
      </c>
      <c r="E526" s="3" t="s">
        <v>1291</v>
      </c>
      <c r="F526" s="3" t="s">
        <v>1291</v>
      </c>
      <c r="G526" s="3" t="s">
        <v>1291</v>
      </c>
      <c r="H526" s="3" t="s">
        <v>1291</v>
      </c>
      <c r="I526" s="3" t="s">
        <v>1291</v>
      </c>
      <c r="J526" s="3" t="s">
        <v>1595</v>
      </c>
      <c r="K526" s="3" t="s">
        <v>1291</v>
      </c>
      <c r="L526" s="3" t="s">
        <v>1291</v>
      </c>
      <c r="M526" s="3" t="s">
        <v>1291</v>
      </c>
      <c r="N526" s="3" t="s">
        <v>1291</v>
      </c>
      <c r="O526" s="3" t="s">
        <v>1291</v>
      </c>
      <c r="P526" s="3" t="s">
        <v>1291</v>
      </c>
      <c r="Q526" s="3" t="s">
        <v>1291</v>
      </c>
      <c r="R526" s="3" t="s">
        <v>1291</v>
      </c>
      <c r="S526" s="3" t="s">
        <v>1291</v>
      </c>
      <c r="T526" s="3" t="s">
        <v>1291</v>
      </c>
      <c r="U526" s="3" t="s">
        <v>1596</v>
      </c>
      <c r="V526" s="3" t="s">
        <v>1291</v>
      </c>
      <c r="W526" s="3" t="s">
        <v>1291</v>
      </c>
      <c r="X526" s="3" t="s">
        <v>1291</v>
      </c>
      <c r="Y526" s="3" t="s">
        <v>1291</v>
      </c>
      <c r="Z526" s="3" t="s">
        <v>1291</v>
      </c>
      <c r="AA526" s="3" t="s">
        <v>1291</v>
      </c>
      <c r="AB526" s="3" t="s">
        <v>1597</v>
      </c>
      <c r="AC526" s="3" t="s">
        <v>1291</v>
      </c>
      <c r="AD526" s="3" t="s">
        <v>1291</v>
      </c>
      <c r="AE526" s="3" t="s">
        <v>1291</v>
      </c>
      <c r="AF526" s="3" t="s">
        <v>1291</v>
      </c>
      <c r="AG526" s="3" t="s">
        <v>1291</v>
      </c>
      <c r="AH526" s="3" t="s">
        <v>1291</v>
      </c>
      <c r="AI526" s="3" t="s">
        <v>1291</v>
      </c>
      <c r="AJ526" s="3" t="s">
        <v>1291</v>
      </c>
      <c r="AK526" s="3" t="s">
        <v>1598</v>
      </c>
      <c r="AL526" s="3" t="s">
        <v>1291</v>
      </c>
      <c r="AM526" s="3" t="s">
        <v>1291</v>
      </c>
      <c r="AN526" s="3" t="s">
        <v>1291</v>
      </c>
      <c r="AO526" s="3" t="s">
        <v>1291</v>
      </c>
      <c r="AP526" s="3" t="s">
        <v>1291</v>
      </c>
      <c r="AQ526" s="3" t="s">
        <v>1291</v>
      </c>
      <c r="AR526" s="3" t="s">
        <v>1291</v>
      </c>
      <c r="AS526" s="3" t="s">
        <v>1291</v>
      </c>
      <c r="AT526" s="3" t="s">
        <v>1291</v>
      </c>
      <c r="AU526" s="3" t="s">
        <v>1291</v>
      </c>
      <c r="AV526" s="3" t="s">
        <v>1291</v>
      </c>
      <c r="AW526" s="3" t="s">
        <v>1291</v>
      </c>
      <c r="AX526" s="3" t="s">
        <v>1291</v>
      </c>
      <c r="AY526" s="3" t="s">
        <v>1291</v>
      </c>
      <c r="AZ526" s="3" t="s">
        <v>1291</v>
      </c>
      <c r="BA526" s="3" t="s">
        <v>1291</v>
      </c>
      <c r="BB526" s="3" t="s">
        <v>1291</v>
      </c>
      <c r="BC526" s="3" t="s">
        <v>1291</v>
      </c>
      <c r="BD526" s="3" t="s">
        <v>1291</v>
      </c>
      <c r="BE526" s="3" t="s">
        <v>1291</v>
      </c>
      <c r="BF526" s="3" t="s">
        <v>1291</v>
      </c>
    </row>
    <row r="527" spans="1:58" x14ac:dyDescent="0.3">
      <c r="A527" s="3" t="s">
        <v>1291</v>
      </c>
      <c r="B527" s="3" t="s">
        <v>1291</v>
      </c>
      <c r="C527" s="3" t="s">
        <v>1291</v>
      </c>
      <c r="D527" s="3" t="s">
        <v>1291</v>
      </c>
      <c r="E527" s="3" t="s">
        <v>1291</v>
      </c>
      <c r="F527" s="3" t="s">
        <v>1291</v>
      </c>
      <c r="G527" s="3" t="s">
        <v>1291</v>
      </c>
      <c r="H527" s="3" t="s">
        <v>1291</v>
      </c>
      <c r="I527" s="3" t="s">
        <v>1291</v>
      </c>
      <c r="J527" s="3" t="s">
        <v>1599</v>
      </c>
      <c r="K527" s="3" t="s">
        <v>1291</v>
      </c>
      <c r="L527" s="3" t="s">
        <v>1291</v>
      </c>
      <c r="M527" s="3" t="s">
        <v>1291</v>
      </c>
      <c r="N527" s="3" t="s">
        <v>1291</v>
      </c>
      <c r="O527" s="3" t="s">
        <v>1291</v>
      </c>
      <c r="P527" s="3" t="s">
        <v>1291</v>
      </c>
      <c r="Q527" s="3" t="s">
        <v>1291</v>
      </c>
      <c r="R527" s="3" t="s">
        <v>1291</v>
      </c>
      <c r="S527" s="3" t="s">
        <v>1291</v>
      </c>
      <c r="T527" s="3" t="s">
        <v>1291</v>
      </c>
      <c r="U527" s="3" t="s">
        <v>1600</v>
      </c>
      <c r="V527" s="3" t="s">
        <v>1291</v>
      </c>
      <c r="W527" s="3" t="s">
        <v>1291</v>
      </c>
      <c r="X527" s="3" t="s">
        <v>1291</v>
      </c>
      <c r="Y527" s="3" t="s">
        <v>1291</v>
      </c>
      <c r="Z527" s="3" t="s">
        <v>1291</v>
      </c>
      <c r="AA527" s="3" t="s">
        <v>1291</v>
      </c>
      <c r="AB527" s="3" t="s">
        <v>1601</v>
      </c>
      <c r="AC527" s="3" t="s">
        <v>1291</v>
      </c>
      <c r="AD527" s="3" t="s">
        <v>1291</v>
      </c>
      <c r="AE527" s="3" t="s">
        <v>1291</v>
      </c>
      <c r="AF527" s="3" t="s">
        <v>1291</v>
      </c>
      <c r="AG527" s="3" t="s">
        <v>1291</v>
      </c>
      <c r="AH527" s="3" t="s">
        <v>1291</v>
      </c>
      <c r="AI527" s="3" t="s">
        <v>1291</v>
      </c>
      <c r="AJ527" s="3" t="s">
        <v>1291</v>
      </c>
      <c r="AK527" s="3" t="s">
        <v>1602</v>
      </c>
      <c r="AL527" s="3" t="s">
        <v>1291</v>
      </c>
      <c r="AM527" s="3" t="s">
        <v>1291</v>
      </c>
      <c r="AN527" s="3" t="s">
        <v>1291</v>
      </c>
      <c r="AO527" s="3" t="s">
        <v>1291</v>
      </c>
      <c r="AP527" s="3" t="s">
        <v>1291</v>
      </c>
      <c r="AQ527" s="3" t="s">
        <v>1291</v>
      </c>
      <c r="AR527" s="3" t="s">
        <v>1291</v>
      </c>
      <c r="AS527" s="3" t="s">
        <v>1291</v>
      </c>
      <c r="AT527" s="3" t="s">
        <v>1291</v>
      </c>
      <c r="AU527" s="3" t="s">
        <v>1291</v>
      </c>
      <c r="AV527" s="3" t="s">
        <v>1291</v>
      </c>
      <c r="AW527" s="3" t="s">
        <v>1291</v>
      </c>
      <c r="AX527" s="3" t="s">
        <v>1291</v>
      </c>
      <c r="AY527" s="3" t="s">
        <v>1291</v>
      </c>
      <c r="AZ527" s="3" t="s">
        <v>1291</v>
      </c>
      <c r="BA527" s="3" t="s">
        <v>1291</v>
      </c>
      <c r="BB527" s="3" t="s">
        <v>1291</v>
      </c>
      <c r="BC527" s="3" t="s">
        <v>1291</v>
      </c>
      <c r="BD527" s="3" t="s">
        <v>1291</v>
      </c>
      <c r="BE527" s="3" t="s">
        <v>1291</v>
      </c>
      <c r="BF527" s="3" t="s">
        <v>1291</v>
      </c>
    </row>
    <row r="528" spans="1:58" x14ac:dyDescent="0.3">
      <c r="A528" s="3" t="s">
        <v>1291</v>
      </c>
      <c r="B528" s="3" t="s">
        <v>1291</v>
      </c>
      <c r="C528" s="3" t="s">
        <v>1291</v>
      </c>
      <c r="D528" s="3" t="s">
        <v>1291</v>
      </c>
      <c r="E528" s="3" t="s">
        <v>1291</v>
      </c>
      <c r="F528" s="3" t="s">
        <v>1291</v>
      </c>
      <c r="G528" s="3" t="s">
        <v>1291</v>
      </c>
      <c r="H528" s="3" t="s">
        <v>1291</v>
      </c>
      <c r="I528" s="3" t="s">
        <v>1291</v>
      </c>
      <c r="J528" s="3" t="s">
        <v>1603</v>
      </c>
      <c r="K528" s="3" t="s">
        <v>1291</v>
      </c>
      <c r="L528" s="3" t="s">
        <v>1291</v>
      </c>
      <c r="M528" s="3" t="s">
        <v>1291</v>
      </c>
      <c r="N528" s="3" t="s">
        <v>1291</v>
      </c>
      <c r="O528" s="3" t="s">
        <v>1291</v>
      </c>
      <c r="P528" s="3" t="s">
        <v>1291</v>
      </c>
      <c r="Q528" s="3" t="s">
        <v>1291</v>
      </c>
      <c r="R528" s="3" t="s">
        <v>1291</v>
      </c>
      <c r="S528" s="3" t="s">
        <v>1291</v>
      </c>
      <c r="T528" s="3" t="s">
        <v>1291</v>
      </c>
      <c r="U528" s="3" t="s">
        <v>1604</v>
      </c>
      <c r="V528" s="3" t="s">
        <v>1291</v>
      </c>
      <c r="W528" s="3" t="s">
        <v>1291</v>
      </c>
      <c r="X528" s="3" t="s">
        <v>1291</v>
      </c>
      <c r="Y528" s="3" t="s">
        <v>1291</v>
      </c>
      <c r="Z528" s="3" t="s">
        <v>1291</v>
      </c>
      <c r="AA528" s="3" t="s">
        <v>1291</v>
      </c>
      <c r="AB528" s="3" t="s">
        <v>1605</v>
      </c>
      <c r="AC528" s="3" t="s">
        <v>1291</v>
      </c>
      <c r="AD528" s="3" t="s">
        <v>1291</v>
      </c>
      <c r="AE528" s="3" t="s">
        <v>1291</v>
      </c>
      <c r="AF528" s="3" t="s">
        <v>1291</v>
      </c>
      <c r="AG528" s="3" t="s">
        <v>1291</v>
      </c>
      <c r="AH528" s="3" t="s">
        <v>1291</v>
      </c>
      <c r="AI528" s="3" t="s">
        <v>1291</v>
      </c>
      <c r="AJ528" s="3" t="s">
        <v>1291</v>
      </c>
      <c r="AK528" s="3" t="s">
        <v>1606</v>
      </c>
      <c r="AL528" s="3" t="s">
        <v>1291</v>
      </c>
      <c r="AM528" s="3" t="s">
        <v>1291</v>
      </c>
      <c r="AN528" s="3" t="s">
        <v>1291</v>
      </c>
      <c r="AO528" s="3" t="s">
        <v>1291</v>
      </c>
      <c r="AP528" s="3" t="s">
        <v>1291</v>
      </c>
      <c r="AQ528" s="3" t="s">
        <v>1291</v>
      </c>
      <c r="AR528" s="3" t="s">
        <v>1291</v>
      </c>
      <c r="AS528" s="3" t="s">
        <v>1291</v>
      </c>
      <c r="AT528" s="3" t="s">
        <v>1291</v>
      </c>
      <c r="AU528" s="3" t="s">
        <v>1291</v>
      </c>
      <c r="AV528" s="3" t="s">
        <v>1291</v>
      </c>
      <c r="AW528" s="3" t="s">
        <v>1291</v>
      </c>
      <c r="AX528" s="3" t="s">
        <v>1291</v>
      </c>
      <c r="AY528" s="3" t="s">
        <v>1291</v>
      </c>
      <c r="AZ528" s="3" t="s">
        <v>1291</v>
      </c>
      <c r="BA528" s="3" t="s">
        <v>1291</v>
      </c>
      <c r="BB528" s="3" t="s">
        <v>1291</v>
      </c>
      <c r="BC528" s="3" t="s">
        <v>1291</v>
      </c>
      <c r="BD528" s="3" t="s">
        <v>1291</v>
      </c>
      <c r="BE528" s="3" t="s">
        <v>1291</v>
      </c>
      <c r="BF528" s="3" t="s">
        <v>1291</v>
      </c>
    </row>
    <row r="529" spans="1:58" x14ac:dyDescent="0.3">
      <c r="A529" s="3" t="s">
        <v>1291</v>
      </c>
      <c r="B529" s="3" t="s">
        <v>1291</v>
      </c>
      <c r="C529" s="3" t="s">
        <v>1291</v>
      </c>
      <c r="D529" s="3" t="s">
        <v>1291</v>
      </c>
      <c r="E529" s="3" t="s">
        <v>1291</v>
      </c>
      <c r="F529" s="3" t="s">
        <v>1291</v>
      </c>
      <c r="G529" s="3" t="s">
        <v>1291</v>
      </c>
      <c r="H529" s="3" t="s">
        <v>1291</v>
      </c>
      <c r="I529" s="3" t="s">
        <v>1291</v>
      </c>
      <c r="J529" s="3" t="s">
        <v>1291</v>
      </c>
      <c r="K529" s="3" t="s">
        <v>1291</v>
      </c>
      <c r="L529" s="3" t="s">
        <v>1291</v>
      </c>
      <c r="M529" s="3" t="s">
        <v>1291</v>
      </c>
      <c r="N529" s="3" t="s">
        <v>1291</v>
      </c>
      <c r="O529" s="3" t="s">
        <v>1291</v>
      </c>
      <c r="P529" s="3" t="s">
        <v>1291</v>
      </c>
      <c r="Q529" s="3" t="s">
        <v>1291</v>
      </c>
      <c r="R529" s="3" t="s">
        <v>1291</v>
      </c>
      <c r="S529" s="3" t="s">
        <v>1291</v>
      </c>
      <c r="T529" s="3" t="s">
        <v>1291</v>
      </c>
      <c r="U529" s="3" t="s">
        <v>1607</v>
      </c>
      <c r="V529" s="3" t="s">
        <v>1291</v>
      </c>
      <c r="W529" s="3" t="s">
        <v>1291</v>
      </c>
      <c r="X529" s="3" t="s">
        <v>1291</v>
      </c>
      <c r="Y529" s="3" t="s">
        <v>1291</v>
      </c>
      <c r="Z529" s="3" t="s">
        <v>1291</v>
      </c>
      <c r="AA529" s="3" t="s">
        <v>1291</v>
      </c>
      <c r="AB529" s="3" t="s">
        <v>1608</v>
      </c>
      <c r="AC529" s="3" t="s">
        <v>1291</v>
      </c>
      <c r="AD529" s="3" t="s">
        <v>1291</v>
      </c>
      <c r="AE529" s="3" t="s">
        <v>1291</v>
      </c>
      <c r="AF529" s="3" t="s">
        <v>1291</v>
      </c>
      <c r="AG529" s="3" t="s">
        <v>1291</v>
      </c>
      <c r="AH529" s="3" t="s">
        <v>1291</v>
      </c>
      <c r="AI529" s="3" t="s">
        <v>1291</v>
      </c>
      <c r="AJ529" s="3" t="s">
        <v>1291</v>
      </c>
      <c r="AK529" s="3" t="s">
        <v>1609</v>
      </c>
      <c r="AL529" s="3" t="s">
        <v>1291</v>
      </c>
      <c r="AM529" s="3" t="s">
        <v>1291</v>
      </c>
      <c r="AN529" s="3" t="s">
        <v>1291</v>
      </c>
      <c r="AO529" s="3" t="s">
        <v>1291</v>
      </c>
      <c r="AP529" s="3" t="s">
        <v>1291</v>
      </c>
      <c r="AQ529" s="3" t="s">
        <v>1291</v>
      </c>
      <c r="AR529" s="3" t="s">
        <v>1291</v>
      </c>
      <c r="AS529" s="3" t="s">
        <v>1291</v>
      </c>
      <c r="AT529" s="3" t="s">
        <v>1291</v>
      </c>
      <c r="AU529" s="3" t="s">
        <v>1291</v>
      </c>
      <c r="AV529" s="3" t="s">
        <v>1291</v>
      </c>
      <c r="AW529" s="3" t="s">
        <v>1291</v>
      </c>
      <c r="AX529" s="3" t="s">
        <v>1291</v>
      </c>
      <c r="AY529" s="3" t="s">
        <v>1291</v>
      </c>
      <c r="AZ529" s="3" t="s">
        <v>1291</v>
      </c>
      <c r="BA529" s="3" t="s">
        <v>1291</v>
      </c>
      <c r="BB529" s="3" t="s">
        <v>1291</v>
      </c>
      <c r="BC529" s="3" t="s">
        <v>1291</v>
      </c>
      <c r="BD529" s="3" t="s">
        <v>1291</v>
      </c>
      <c r="BE529" s="3" t="s">
        <v>1291</v>
      </c>
      <c r="BF529" s="3" t="s">
        <v>1291</v>
      </c>
    </row>
    <row r="530" spans="1:58" x14ac:dyDescent="0.3">
      <c r="A530" s="3" t="s">
        <v>1291</v>
      </c>
      <c r="B530" s="3" t="s">
        <v>1291</v>
      </c>
      <c r="C530" s="3" t="s">
        <v>1291</v>
      </c>
      <c r="D530" s="3" t="s">
        <v>1291</v>
      </c>
      <c r="E530" s="3" t="s">
        <v>1291</v>
      </c>
      <c r="F530" s="3" t="s">
        <v>1291</v>
      </c>
      <c r="G530" s="3" t="s">
        <v>1291</v>
      </c>
      <c r="H530" s="3" t="s">
        <v>1291</v>
      </c>
      <c r="I530" s="3" t="s">
        <v>1291</v>
      </c>
      <c r="J530" s="3" t="s">
        <v>1291</v>
      </c>
      <c r="K530" s="3" t="s">
        <v>1291</v>
      </c>
      <c r="L530" s="3" t="s">
        <v>1291</v>
      </c>
      <c r="M530" s="3" t="s">
        <v>1291</v>
      </c>
      <c r="N530" s="3" t="s">
        <v>1291</v>
      </c>
      <c r="O530" s="3" t="s">
        <v>1291</v>
      </c>
      <c r="P530" s="3" t="s">
        <v>1291</v>
      </c>
      <c r="Q530" s="3" t="s">
        <v>1291</v>
      </c>
      <c r="R530" s="3" t="s">
        <v>1291</v>
      </c>
      <c r="S530" s="3" t="s">
        <v>1291</v>
      </c>
      <c r="T530" s="3" t="s">
        <v>1291</v>
      </c>
      <c r="U530" s="3" t="s">
        <v>1610</v>
      </c>
      <c r="V530" s="3" t="s">
        <v>1291</v>
      </c>
      <c r="W530" s="3" t="s">
        <v>1291</v>
      </c>
      <c r="X530" s="3" t="s">
        <v>1291</v>
      </c>
      <c r="Y530" s="3" t="s">
        <v>1291</v>
      </c>
      <c r="Z530" s="3" t="s">
        <v>1291</v>
      </c>
      <c r="AA530" s="3" t="s">
        <v>1291</v>
      </c>
      <c r="AB530" s="3" t="s">
        <v>1611</v>
      </c>
      <c r="AC530" s="3" t="s">
        <v>1291</v>
      </c>
      <c r="AD530" s="3" t="s">
        <v>1291</v>
      </c>
      <c r="AE530" s="3" t="s">
        <v>1291</v>
      </c>
      <c r="AF530" s="3" t="s">
        <v>1291</v>
      </c>
      <c r="AG530" s="3" t="s">
        <v>1291</v>
      </c>
      <c r="AH530" s="3" t="s">
        <v>1291</v>
      </c>
      <c r="AI530" s="3" t="s">
        <v>1291</v>
      </c>
      <c r="AJ530" s="3" t="s">
        <v>1291</v>
      </c>
      <c r="AK530" s="3" t="s">
        <v>1612</v>
      </c>
      <c r="AL530" s="3" t="s">
        <v>1291</v>
      </c>
      <c r="AM530" s="3" t="s">
        <v>1291</v>
      </c>
      <c r="AN530" s="3" t="s">
        <v>1291</v>
      </c>
      <c r="AO530" s="3" t="s">
        <v>1291</v>
      </c>
      <c r="AP530" s="3" t="s">
        <v>1291</v>
      </c>
      <c r="AQ530" s="3" t="s">
        <v>1291</v>
      </c>
      <c r="AR530" s="3" t="s">
        <v>1291</v>
      </c>
      <c r="AS530" s="3" t="s">
        <v>1291</v>
      </c>
      <c r="AT530" s="3" t="s">
        <v>1291</v>
      </c>
      <c r="AU530" s="3" t="s">
        <v>1291</v>
      </c>
      <c r="AV530" s="3" t="s">
        <v>1291</v>
      </c>
      <c r="AW530" s="3" t="s">
        <v>1291</v>
      </c>
      <c r="AX530" s="3" t="s">
        <v>1291</v>
      </c>
      <c r="AY530" s="3" t="s">
        <v>1291</v>
      </c>
      <c r="AZ530" s="3" t="s">
        <v>1291</v>
      </c>
      <c r="BA530" s="3" t="s">
        <v>1291</v>
      </c>
      <c r="BB530" s="3" t="s">
        <v>1291</v>
      </c>
      <c r="BC530" s="3" t="s">
        <v>1291</v>
      </c>
      <c r="BD530" s="3" t="s">
        <v>1291</v>
      </c>
      <c r="BE530" s="3" t="s">
        <v>1291</v>
      </c>
      <c r="BF530" s="3" t="s">
        <v>1291</v>
      </c>
    </row>
    <row r="531" spans="1:58" x14ac:dyDescent="0.3">
      <c r="A531" s="3" t="s">
        <v>1291</v>
      </c>
      <c r="B531" s="3" t="s">
        <v>1291</v>
      </c>
      <c r="C531" s="3" t="s">
        <v>1291</v>
      </c>
      <c r="D531" s="3" t="s">
        <v>1291</v>
      </c>
      <c r="E531" s="3" t="s">
        <v>1291</v>
      </c>
      <c r="F531" s="3" t="s">
        <v>1291</v>
      </c>
      <c r="G531" s="3" t="s">
        <v>1291</v>
      </c>
      <c r="H531" s="3" t="s">
        <v>1291</v>
      </c>
      <c r="I531" s="3" t="s">
        <v>1291</v>
      </c>
      <c r="J531" s="3" t="s">
        <v>1291</v>
      </c>
      <c r="K531" s="3" t="s">
        <v>1291</v>
      </c>
      <c r="L531" s="3" t="s">
        <v>1291</v>
      </c>
      <c r="M531" s="3" t="s">
        <v>1291</v>
      </c>
      <c r="N531" s="3" t="s">
        <v>1291</v>
      </c>
      <c r="O531" s="3" t="s">
        <v>1291</v>
      </c>
      <c r="P531" s="3" t="s">
        <v>1291</v>
      </c>
      <c r="Q531" s="3" t="s">
        <v>1291</v>
      </c>
      <c r="R531" s="3" t="s">
        <v>1291</v>
      </c>
      <c r="S531" s="3" t="s">
        <v>1291</v>
      </c>
      <c r="T531" s="3" t="s">
        <v>1291</v>
      </c>
      <c r="U531" s="3" t="s">
        <v>1613</v>
      </c>
      <c r="V531" s="3" t="s">
        <v>1291</v>
      </c>
      <c r="W531" s="3" t="s">
        <v>1291</v>
      </c>
      <c r="X531" s="3" t="s">
        <v>1291</v>
      </c>
      <c r="Y531" s="3" t="s">
        <v>1291</v>
      </c>
      <c r="Z531" s="3" t="s">
        <v>1291</v>
      </c>
      <c r="AA531" s="3" t="s">
        <v>1291</v>
      </c>
      <c r="AB531" s="3" t="s">
        <v>1614</v>
      </c>
      <c r="AC531" s="3" t="s">
        <v>1291</v>
      </c>
      <c r="AD531" s="3" t="s">
        <v>1291</v>
      </c>
      <c r="AE531" s="3" t="s">
        <v>1291</v>
      </c>
      <c r="AF531" s="3" t="s">
        <v>1291</v>
      </c>
      <c r="AG531" s="3" t="s">
        <v>1291</v>
      </c>
      <c r="AH531" s="3" t="s">
        <v>1291</v>
      </c>
      <c r="AI531" s="3" t="s">
        <v>1291</v>
      </c>
      <c r="AJ531" s="3" t="s">
        <v>1291</v>
      </c>
      <c r="AK531" s="3" t="s">
        <v>1615</v>
      </c>
      <c r="AL531" s="3" t="s">
        <v>1291</v>
      </c>
      <c r="AM531" s="3" t="s">
        <v>1291</v>
      </c>
      <c r="AN531" s="3" t="s">
        <v>1291</v>
      </c>
      <c r="AO531" s="3" t="s">
        <v>1291</v>
      </c>
      <c r="AP531" s="3" t="s">
        <v>1291</v>
      </c>
      <c r="AQ531" s="3" t="s">
        <v>1291</v>
      </c>
      <c r="AR531" s="3" t="s">
        <v>1291</v>
      </c>
      <c r="AS531" s="3" t="s">
        <v>1291</v>
      </c>
      <c r="AT531" s="3" t="s">
        <v>1291</v>
      </c>
      <c r="AU531" s="3" t="s">
        <v>1291</v>
      </c>
      <c r="AV531" s="3" t="s">
        <v>1291</v>
      </c>
      <c r="AW531" s="3" t="s">
        <v>1291</v>
      </c>
      <c r="AX531" s="3" t="s">
        <v>1291</v>
      </c>
      <c r="AY531" s="3" t="s">
        <v>1291</v>
      </c>
      <c r="AZ531" s="3" t="s">
        <v>1291</v>
      </c>
      <c r="BA531" s="3" t="s">
        <v>1291</v>
      </c>
      <c r="BB531" s="3" t="s">
        <v>1291</v>
      </c>
      <c r="BC531" s="3" t="s">
        <v>1291</v>
      </c>
      <c r="BD531" s="3" t="s">
        <v>1291</v>
      </c>
      <c r="BE531" s="3" t="s">
        <v>1291</v>
      </c>
      <c r="BF531" s="3" t="s">
        <v>1291</v>
      </c>
    </row>
    <row r="532" spans="1:58" x14ac:dyDescent="0.3">
      <c r="A532" s="3" t="s">
        <v>1291</v>
      </c>
      <c r="B532" s="3" t="s">
        <v>1291</v>
      </c>
      <c r="C532" s="3" t="s">
        <v>1291</v>
      </c>
      <c r="D532" s="3" t="s">
        <v>1291</v>
      </c>
      <c r="E532" s="3" t="s">
        <v>1291</v>
      </c>
      <c r="F532" s="3" t="s">
        <v>1291</v>
      </c>
      <c r="G532" s="3" t="s">
        <v>1291</v>
      </c>
      <c r="H532" s="3" t="s">
        <v>1291</v>
      </c>
      <c r="I532" s="3" t="s">
        <v>1291</v>
      </c>
      <c r="J532" s="3" t="s">
        <v>1291</v>
      </c>
      <c r="K532" s="3" t="s">
        <v>1291</v>
      </c>
      <c r="L532" s="3" t="s">
        <v>1291</v>
      </c>
      <c r="M532" s="3" t="s">
        <v>1291</v>
      </c>
      <c r="N532" s="3" t="s">
        <v>1291</v>
      </c>
      <c r="O532" s="3" t="s">
        <v>1291</v>
      </c>
      <c r="P532" s="3" t="s">
        <v>1291</v>
      </c>
      <c r="Q532" s="3" t="s">
        <v>1291</v>
      </c>
      <c r="R532" s="3" t="s">
        <v>1291</v>
      </c>
      <c r="S532" s="3" t="s">
        <v>1291</v>
      </c>
      <c r="T532" s="3" t="s">
        <v>1291</v>
      </c>
      <c r="U532" s="3" t="s">
        <v>1616</v>
      </c>
      <c r="V532" s="3" t="s">
        <v>1291</v>
      </c>
      <c r="W532" s="3" t="s">
        <v>1291</v>
      </c>
      <c r="X532" s="3" t="s">
        <v>1291</v>
      </c>
      <c r="Y532" s="3" t="s">
        <v>1291</v>
      </c>
      <c r="Z532" s="3" t="s">
        <v>1291</v>
      </c>
      <c r="AA532" s="3" t="s">
        <v>1291</v>
      </c>
      <c r="AB532" s="3" t="s">
        <v>1291</v>
      </c>
      <c r="AC532" s="3" t="s">
        <v>1291</v>
      </c>
      <c r="AD532" s="3" t="s">
        <v>1291</v>
      </c>
      <c r="AE532" s="3" t="s">
        <v>1291</v>
      </c>
      <c r="AF532" s="3" t="s">
        <v>1291</v>
      </c>
      <c r="AG532" s="3" t="s">
        <v>1291</v>
      </c>
      <c r="AH532" s="3" t="s">
        <v>1291</v>
      </c>
      <c r="AI532" s="3" t="s">
        <v>1291</v>
      </c>
      <c r="AJ532" s="3" t="s">
        <v>1291</v>
      </c>
      <c r="AK532" s="3" t="s">
        <v>1617</v>
      </c>
      <c r="AL532" s="3" t="s">
        <v>1291</v>
      </c>
      <c r="AM532" s="3" t="s">
        <v>1291</v>
      </c>
      <c r="AN532" s="3" t="s">
        <v>1291</v>
      </c>
      <c r="AO532" s="3" t="s">
        <v>1291</v>
      </c>
      <c r="AP532" s="3" t="s">
        <v>1291</v>
      </c>
      <c r="AQ532" s="3" t="s">
        <v>1291</v>
      </c>
      <c r="AR532" s="3" t="s">
        <v>1291</v>
      </c>
      <c r="AS532" s="3" t="s">
        <v>1291</v>
      </c>
      <c r="AT532" s="3" t="s">
        <v>1291</v>
      </c>
      <c r="AU532" s="3" t="s">
        <v>1291</v>
      </c>
      <c r="AV532" s="3" t="s">
        <v>1291</v>
      </c>
      <c r="AW532" s="3" t="s">
        <v>1291</v>
      </c>
      <c r="AX532" s="3" t="s">
        <v>1291</v>
      </c>
      <c r="AY532" s="3" t="s">
        <v>1291</v>
      </c>
      <c r="AZ532" s="3" t="s">
        <v>1291</v>
      </c>
      <c r="BA532" s="3" t="s">
        <v>1291</v>
      </c>
      <c r="BB532" s="3" t="s">
        <v>1291</v>
      </c>
      <c r="BC532" s="3" t="s">
        <v>1291</v>
      </c>
      <c r="BD532" s="3" t="s">
        <v>1291</v>
      </c>
      <c r="BE532" s="3" t="s">
        <v>1291</v>
      </c>
      <c r="BF532" s="3" t="s">
        <v>1291</v>
      </c>
    </row>
    <row r="533" spans="1:58" x14ac:dyDescent="0.3">
      <c r="A533" s="3" t="s">
        <v>1291</v>
      </c>
      <c r="B533" s="3" t="s">
        <v>1291</v>
      </c>
      <c r="C533" s="3" t="s">
        <v>1291</v>
      </c>
      <c r="D533" s="3" t="s">
        <v>1291</v>
      </c>
      <c r="E533" s="3" t="s">
        <v>1291</v>
      </c>
      <c r="F533" s="3" t="s">
        <v>1291</v>
      </c>
      <c r="G533" s="3" t="s">
        <v>1291</v>
      </c>
      <c r="H533" s="3" t="s">
        <v>1291</v>
      </c>
      <c r="I533" s="3" t="s">
        <v>1291</v>
      </c>
      <c r="J533" s="3" t="s">
        <v>1291</v>
      </c>
      <c r="K533" s="3" t="s">
        <v>1291</v>
      </c>
      <c r="L533" s="3" t="s">
        <v>1291</v>
      </c>
      <c r="M533" s="3" t="s">
        <v>1291</v>
      </c>
      <c r="N533" s="3" t="s">
        <v>1291</v>
      </c>
      <c r="O533" s="3" t="s">
        <v>1291</v>
      </c>
      <c r="P533" s="3" t="s">
        <v>1291</v>
      </c>
      <c r="Q533" s="3" t="s">
        <v>1291</v>
      </c>
      <c r="R533" s="3" t="s">
        <v>1291</v>
      </c>
      <c r="S533" s="3" t="s">
        <v>1291</v>
      </c>
      <c r="T533" s="3" t="s">
        <v>1291</v>
      </c>
      <c r="U533" s="3" t="s">
        <v>1618</v>
      </c>
      <c r="V533" s="3" t="s">
        <v>1291</v>
      </c>
      <c r="W533" s="3" t="s">
        <v>1291</v>
      </c>
      <c r="X533" s="3" t="s">
        <v>1291</v>
      </c>
      <c r="Y533" s="3" t="s">
        <v>1291</v>
      </c>
      <c r="Z533" s="3" t="s">
        <v>1291</v>
      </c>
      <c r="AA533" s="3" t="s">
        <v>1291</v>
      </c>
      <c r="AB533" s="3" t="s">
        <v>1291</v>
      </c>
      <c r="AC533" s="3" t="s">
        <v>1291</v>
      </c>
      <c r="AD533" s="3" t="s">
        <v>1291</v>
      </c>
      <c r="AE533" s="3" t="s">
        <v>1291</v>
      </c>
      <c r="AF533" s="3" t="s">
        <v>1291</v>
      </c>
      <c r="AG533" s="3" t="s">
        <v>1291</v>
      </c>
      <c r="AH533" s="3" t="s">
        <v>1291</v>
      </c>
      <c r="AI533" s="3" t="s">
        <v>1291</v>
      </c>
      <c r="AJ533" s="3" t="s">
        <v>1291</v>
      </c>
      <c r="AK533" s="3" t="s">
        <v>1619</v>
      </c>
      <c r="AL533" s="3" t="s">
        <v>1291</v>
      </c>
      <c r="AM533" s="3" t="s">
        <v>1291</v>
      </c>
      <c r="AN533" s="3" t="s">
        <v>1291</v>
      </c>
      <c r="AO533" s="3" t="s">
        <v>1291</v>
      </c>
      <c r="AP533" s="3" t="s">
        <v>1291</v>
      </c>
      <c r="AQ533" s="3" t="s">
        <v>1291</v>
      </c>
      <c r="AR533" s="3" t="s">
        <v>1291</v>
      </c>
      <c r="AS533" s="3" t="s">
        <v>1291</v>
      </c>
      <c r="AT533" s="3" t="s">
        <v>1291</v>
      </c>
      <c r="AU533" s="3" t="s">
        <v>1291</v>
      </c>
      <c r="AV533" s="3" t="s">
        <v>1291</v>
      </c>
      <c r="AW533" s="3" t="s">
        <v>1291</v>
      </c>
      <c r="AX533" s="3" t="s">
        <v>1291</v>
      </c>
      <c r="AY533" s="3" t="s">
        <v>1291</v>
      </c>
      <c r="AZ533" s="3" t="s">
        <v>1291</v>
      </c>
      <c r="BA533" s="3" t="s">
        <v>1291</v>
      </c>
      <c r="BB533" s="3" t="s">
        <v>1291</v>
      </c>
      <c r="BC533" s="3" t="s">
        <v>1291</v>
      </c>
      <c r="BD533" s="3" t="s">
        <v>1291</v>
      </c>
      <c r="BE533" s="3" t="s">
        <v>1291</v>
      </c>
      <c r="BF533" s="3" t="s">
        <v>1291</v>
      </c>
    </row>
    <row r="534" spans="1:58" x14ac:dyDescent="0.3">
      <c r="A534" s="3" t="s">
        <v>1291</v>
      </c>
      <c r="B534" s="3" t="s">
        <v>1291</v>
      </c>
      <c r="C534" s="3" t="s">
        <v>1291</v>
      </c>
      <c r="D534" s="3" t="s">
        <v>1291</v>
      </c>
      <c r="E534" s="3" t="s">
        <v>1291</v>
      </c>
      <c r="F534" s="3" t="s">
        <v>1291</v>
      </c>
      <c r="G534" s="3" t="s">
        <v>1291</v>
      </c>
      <c r="H534" s="3" t="s">
        <v>1291</v>
      </c>
      <c r="I534" s="3" t="s">
        <v>1291</v>
      </c>
      <c r="J534" s="3" t="s">
        <v>1291</v>
      </c>
      <c r="K534" s="3" t="s">
        <v>1291</v>
      </c>
      <c r="L534" s="3" t="s">
        <v>1291</v>
      </c>
      <c r="M534" s="3" t="s">
        <v>1291</v>
      </c>
      <c r="N534" s="3" t="s">
        <v>1291</v>
      </c>
      <c r="O534" s="3" t="s">
        <v>1291</v>
      </c>
      <c r="P534" s="3" t="s">
        <v>1291</v>
      </c>
      <c r="Q534" s="3" t="s">
        <v>1291</v>
      </c>
      <c r="R534" s="3" t="s">
        <v>1291</v>
      </c>
      <c r="S534" s="3" t="s">
        <v>1291</v>
      </c>
      <c r="T534" s="3" t="s">
        <v>1291</v>
      </c>
      <c r="U534" s="3" t="s">
        <v>1620</v>
      </c>
      <c r="V534" s="3" t="s">
        <v>1291</v>
      </c>
      <c r="W534" s="3" t="s">
        <v>1291</v>
      </c>
      <c r="X534" s="3" t="s">
        <v>1291</v>
      </c>
      <c r="Y534" s="3" t="s">
        <v>1291</v>
      </c>
      <c r="Z534" s="3" t="s">
        <v>1291</v>
      </c>
      <c r="AA534" s="3" t="s">
        <v>1291</v>
      </c>
      <c r="AB534" s="3" t="s">
        <v>1291</v>
      </c>
      <c r="AC534" s="3" t="s">
        <v>1291</v>
      </c>
      <c r="AD534" s="3" t="s">
        <v>1291</v>
      </c>
      <c r="AE534" s="3" t="s">
        <v>1291</v>
      </c>
      <c r="AF534" s="3" t="s">
        <v>1291</v>
      </c>
      <c r="AG534" s="3" t="s">
        <v>1291</v>
      </c>
      <c r="AH534" s="3" t="s">
        <v>1291</v>
      </c>
      <c r="AI534" s="3" t="s">
        <v>1291</v>
      </c>
      <c r="AJ534" s="3" t="s">
        <v>1291</v>
      </c>
      <c r="AK534" s="3" t="s">
        <v>1621</v>
      </c>
      <c r="AL534" s="3" t="s">
        <v>1291</v>
      </c>
      <c r="AM534" s="3" t="s">
        <v>1291</v>
      </c>
      <c r="AN534" s="3" t="s">
        <v>1291</v>
      </c>
      <c r="AO534" s="3" t="s">
        <v>1291</v>
      </c>
      <c r="AP534" s="3" t="s">
        <v>1291</v>
      </c>
      <c r="AQ534" s="3" t="s">
        <v>1291</v>
      </c>
      <c r="AR534" s="3" t="s">
        <v>1291</v>
      </c>
      <c r="AS534" s="3" t="s">
        <v>1291</v>
      </c>
      <c r="AT534" s="3" t="s">
        <v>1291</v>
      </c>
      <c r="AU534" s="3" t="s">
        <v>1291</v>
      </c>
      <c r="AV534" s="3" t="s">
        <v>1291</v>
      </c>
      <c r="AW534" s="3" t="s">
        <v>1291</v>
      </c>
      <c r="AX534" s="3" t="s">
        <v>1291</v>
      </c>
      <c r="AY534" s="3" t="s">
        <v>1291</v>
      </c>
      <c r="AZ534" s="3" t="s">
        <v>1291</v>
      </c>
      <c r="BA534" s="3" t="s">
        <v>1291</v>
      </c>
      <c r="BB534" s="3" t="s">
        <v>1291</v>
      </c>
      <c r="BC534" s="3" t="s">
        <v>1291</v>
      </c>
      <c r="BD534" s="3" t="s">
        <v>1291</v>
      </c>
      <c r="BE534" s="3" t="s">
        <v>1291</v>
      </c>
      <c r="BF534" s="3" t="s">
        <v>1291</v>
      </c>
    </row>
    <row r="535" spans="1:58" x14ac:dyDescent="0.3">
      <c r="A535" s="3" t="s">
        <v>1291</v>
      </c>
      <c r="B535" s="3" t="s">
        <v>1291</v>
      </c>
      <c r="C535" s="3" t="s">
        <v>1291</v>
      </c>
      <c r="D535" s="3" t="s">
        <v>1291</v>
      </c>
      <c r="E535" s="3" t="s">
        <v>1291</v>
      </c>
      <c r="F535" s="3" t="s">
        <v>1291</v>
      </c>
      <c r="G535" s="3" t="s">
        <v>1291</v>
      </c>
      <c r="H535" s="3" t="s">
        <v>1291</v>
      </c>
      <c r="I535" s="3" t="s">
        <v>1291</v>
      </c>
      <c r="J535" s="3" t="s">
        <v>1291</v>
      </c>
      <c r="K535" s="3" t="s">
        <v>1291</v>
      </c>
      <c r="L535" s="3" t="s">
        <v>1291</v>
      </c>
      <c r="M535" s="3" t="s">
        <v>1291</v>
      </c>
      <c r="N535" s="3" t="s">
        <v>1291</v>
      </c>
      <c r="O535" s="3" t="s">
        <v>1291</v>
      </c>
      <c r="P535" s="3" t="s">
        <v>1291</v>
      </c>
      <c r="Q535" s="3" t="s">
        <v>1291</v>
      </c>
      <c r="R535" s="3" t="s">
        <v>1291</v>
      </c>
      <c r="S535" s="3" t="s">
        <v>1291</v>
      </c>
      <c r="T535" s="3" t="s">
        <v>1291</v>
      </c>
      <c r="U535" s="3" t="s">
        <v>1291</v>
      </c>
      <c r="V535" s="3" t="s">
        <v>1291</v>
      </c>
      <c r="W535" s="3" t="s">
        <v>1291</v>
      </c>
      <c r="X535" s="3" t="s">
        <v>1291</v>
      </c>
      <c r="Y535" s="3" t="s">
        <v>1291</v>
      </c>
      <c r="Z535" s="3" t="s">
        <v>1291</v>
      </c>
      <c r="AA535" s="3" t="s">
        <v>1291</v>
      </c>
      <c r="AB535" s="3" t="s">
        <v>1291</v>
      </c>
      <c r="AC535" s="3" t="s">
        <v>1291</v>
      </c>
      <c r="AD535" s="3" t="s">
        <v>1291</v>
      </c>
      <c r="AE535" s="3" t="s">
        <v>1291</v>
      </c>
      <c r="AF535" s="3" t="s">
        <v>1291</v>
      </c>
      <c r="AG535" s="3" t="s">
        <v>1291</v>
      </c>
      <c r="AH535" s="3" t="s">
        <v>1291</v>
      </c>
      <c r="AI535" s="3" t="s">
        <v>1291</v>
      </c>
      <c r="AJ535" s="3" t="s">
        <v>1291</v>
      </c>
      <c r="AK535" s="3" t="s">
        <v>1622</v>
      </c>
      <c r="AL535" s="3" t="s">
        <v>1291</v>
      </c>
      <c r="AM535" s="3" t="s">
        <v>1291</v>
      </c>
      <c r="AN535" s="3" t="s">
        <v>1291</v>
      </c>
      <c r="AO535" s="3" t="s">
        <v>1291</v>
      </c>
      <c r="AP535" s="3" t="s">
        <v>1291</v>
      </c>
      <c r="AQ535" s="3" t="s">
        <v>1291</v>
      </c>
      <c r="AR535" s="3" t="s">
        <v>1291</v>
      </c>
      <c r="AS535" s="3" t="s">
        <v>1291</v>
      </c>
      <c r="AT535" s="3" t="s">
        <v>1291</v>
      </c>
      <c r="AU535" s="3" t="s">
        <v>1291</v>
      </c>
      <c r="AV535" s="3" t="s">
        <v>1291</v>
      </c>
      <c r="AW535" s="3" t="s">
        <v>1291</v>
      </c>
      <c r="AX535" s="3" t="s">
        <v>1291</v>
      </c>
      <c r="AY535" s="3" t="s">
        <v>1291</v>
      </c>
      <c r="AZ535" s="3" t="s">
        <v>1291</v>
      </c>
      <c r="BA535" s="3" t="s">
        <v>1291</v>
      </c>
      <c r="BB535" s="3" t="s">
        <v>1291</v>
      </c>
      <c r="BC535" s="3" t="s">
        <v>1291</v>
      </c>
      <c r="BD535" s="3" t="s">
        <v>1291</v>
      </c>
      <c r="BE535" s="3" t="s">
        <v>1291</v>
      </c>
      <c r="BF535" s="3" t="s">
        <v>1291</v>
      </c>
    </row>
    <row r="536" spans="1:58" x14ac:dyDescent="0.3">
      <c r="A536" s="3" t="s">
        <v>1291</v>
      </c>
      <c r="B536" s="3" t="s">
        <v>1291</v>
      </c>
      <c r="C536" s="3" t="s">
        <v>1291</v>
      </c>
      <c r="D536" s="3" t="s">
        <v>1291</v>
      </c>
      <c r="E536" s="3" t="s">
        <v>1291</v>
      </c>
      <c r="F536" s="3" t="s">
        <v>1291</v>
      </c>
      <c r="G536" s="3" t="s">
        <v>1291</v>
      </c>
      <c r="H536" s="3" t="s">
        <v>1291</v>
      </c>
      <c r="I536" s="3" t="s">
        <v>1291</v>
      </c>
      <c r="J536" s="3" t="s">
        <v>1291</v>
      </c>
      <c r="K536" s="3" t="s">
        <v>1291</v>
      </c>
      <c r="L536" s="3" t="s">
        <v>1291</v>
      </c>
      <c r="M536" s="3" t="s">
        <v>1291</v>
      </c>
      <c r="N536" s="3" t="s">
        <v>1291</v>
      </c>
      <c r="O536" s="3" t="s">
        <v>1291</v>
      </c>
      <c r="P536" s="3" t="s">
        <v>1291</v>
      </c>
      <c r="Q536" s="3" t="s">
        <v>1291</v>
      </c>
      <c r="R536" s="3" t="s">
        <v>1291</v>
      </c>
      <c r="S536" s="3" t="s">
        <v>1291</v>
      </c>
      <c r="T536" s="3" t="s">
        <v>1291</v>
      </c>
      <c r="U536" s="3" t="s">
        <v>1291</v>
      </c>
      <c r="V536" s="3" t="s">
        <v>1291</v>
      </c>
      <c r="W536" s="3" t="s">
        <v>1291</v>
      </c>
      <c r="X536" s="3" t="s">
        <v>1291</v>
      </c>
      <c r="Y536" s="3" t="s">
        <v>1291</v>
      </c>
      <c r="Z536" s="3" t="s">
        <v>1291</v>
      </c>
      <c r="AA536" s="3" t="s">
        <v>1291</v>
      </c>
      <c r="AB536" s="3" t="s">
        <v>1291</v>
      </c>
      <c r="AC536" s="3" t="s">
        <v>1291</v>
      </c>
      <c r="AD536" s="3" t="s">
        <v>1291</v>
      </c>
      <c r="AE536" s="3" t="s">
        <v>1291</v>
      </c>
      <c r="AF536" s="3" t="s">
        <v>1291</v>
      </c>
      <c r="AG536" s="3" t="s">
        <v>1291</v>
      </c>
      <c r="AH536" s="3" t="s">
        <v>1291</v>
      </c>
      <c r="AI536" s="3" t="s">
        <v>1291</v>
      </c>
      <c r="AJ536" s="3" t="s">
        <v>1291</v>
      </c>
      <c r="AK536" s="3" t="s">
        <v>1623</v>
      </c>
      <c r="AL536" s="3" t="s">
        <v>1291</v>
      </c>
      <c r="AM536" s="3" t="s">
        <v>1291</v>
      </c>
      <c r="AN536" s="3" t="s">
        <v>1291</v>
      </c>
      <c r="AO536" s="3" t="s">
        <v>1291</v>
      </c>
      <c r="AP536" s="3" t="s">
        <v>1291</v>
      </c>
      <c r="AQ536" s="3" t="s">
        <v>1291</v>
      </c>
      <c r="AR536" s="3" t="s">
        <v>1291</v>
      </c>
      <c r="AS536" s="3" t="s">
        <v>1291</v>
      </c>
      <c r="AT536" s="3" t="s">
        <v>1291</v>
      </c>
      <c r="AU536" s="3" t="s">
        <v>1291</v>
      </c>
      <c r="AV536" s="3" t="s">
        <v>1291</v>
      </c>
      <c r="AW536" s="3" t="s">
        <v>1291</v>
      </c>
      <c r="AX536" s="3" t="s">
        <v>1291</v>
      </c>
      <c r="AY536" s="3" t="s">
        <v>1291</v>
      </c>
      <c r="AZ536" s="3" t="s">
        <v>1291</v>
      </c>
      <c r="BA536" s="3" t="s">
        <v>1291</v>
      </c>
      <c r="BB536" s="3" t="s">
        <v>1291</v>
      </c>
      <c r="BC536" s="3" t="s">
        <v>1291</v>
      </c>
      <c r="BD536" s="3" t="s">
        <v>1291</v>
      </c>
      <c r="BE536" s="3" t="s">
        <v>1291</v>
      </c>
      <c r="BF536" s="3" t="s">
        <v>1291</v>
      </c>
    </row>
    <row r="537" spans="1:58" x14ac:dyDescent="0.3">
      <c r="A537" s="3" t="s">
        <v>1291</v>
      </c>
      <c r="B537" s="3" t="s">
        <v>1291</v>
      </c>
      <c r="C537" s="3" t="s">
        <v>1291</v>
      </c>
      <c r="D537" s="3" t="s">
        <v>1291</v>
      </c>
      <c r="E537" s="3" t="s">
        <v>1291</v>
      </c>
      <c r="F537" s="3" t="s">
        <v>1291</v>
      </c>
      <c r="G537" s="3" t="s">
        <v>1291</v>
      </c>
      <c r="H537" s="3" t="s">
        <v>1291</v>
      </c>
      <c r="I537" s="3" t="s">
        <v>1291</v>
      </c>
      <c r="J537" s="3" t="s">
        <v>1291</v>
      </c>
      <c r="K537" s="3" t="s">
        <v>1291</v>
      </c>
      <c r="L537" s="3" t="s">
        <v>1291</v>
      </c>
      <c r="M537" s="3" t="s">
        <v>1291</v>
      </c>
      <c r="N537" s="3" t="s">
        <v>1291</v>
      </c>
      <c r="O537" s="3" t="s">
        <v>1291</v>
      </c>
      <c r="P537" s="3" t="s">
        <v>1291</v>
      </c>
      <c r="Q537" s="3" t="s">
        <v>1291</v>
      </c>
      <c r="R537" s="3" t="s">
        <v>1291</v>
      </c>
      <c r="S537" s="3" t="s">
        <v>1291</v>
      </c>
      <c r="T537" s="3" t="s">
        <v>1291</v>
      </c>
      <c r="U537" s="3" t="s">
        <v>1291</v>
      </c>
      <c r="V537" s="3" t="s">
        <v>1291</v>
      </c>
      <c r="W537" s="3" t="s">
        <v>1291</v>
      </c>
      <c r="X537" s="3" t="s">
        <v>1291</v>
      </c>
      <c r="Y537" s="3" t="s">
        <v>1291</v>
      </c>
      <c r="Z537" s="3" t="s">
        <v>1291</v>
      </c>
      <c r="AA537" s="3" t="s">
        <v>1291</v>
      </c>
      <c r="AB537" s="3" t="s">
        <v>1291</v>
      </c>
      <c r="AC537" s="3" t="s">
        <v>1291</v>
      </c>
      <c r="AD537" s="3" t="s">
        <v>1291</v>
      </c>
      <c r="AE537" s="3" t="s">
        <v>1291</v>
      </c>
      <c r="AF537" s="3" t="s">
        <v>1291</v>
      </c>
      <c r="AG537" s="3" t="s">
        <v>1291</v>
      </c>
      <c r="AH537" s="3" t="s">
        <v>1291</v>
      </c>
      <c r="AI537" s="3" t="s">
        <v>1291</v>
      </c>
      <c r="AJ537" s="3" t="s">
        <v>1291</v>
      </c>
      <c r="AK537" s="3" t="s">
        <v>1291</v>
      </c>
      <c r="AL537" s="3" t="s">
        <v>1291</v>
      </c>
      <c r="AM537" s="3" t="s">
        <v>1291</v>
      </c>
      <c r="AN537" s="3" t="s">
        <v>1291</v>
      </c>
      <c r="AO537" s="3" t="s">
        <v>1291</v>
      </c>
      <c r="AP537" s="3" t="s">
        <v>1291</v>
      </c>
      <c r="AQ537" s="3" t="s">
        <v>1291</v>
      </c>
      <c r="AR537" s="3" t="s">
        <v>1291</v>
      </c>
      <c r="AS537" s="3" t="s">
        <v>1291</v>
      </c>
      <c r="AT537" s="3" t="s">
        <v>1291</v>
      </c>
      <c r="AU537" s="3" t="s">
        <v>1291</v>
      </c>
      <c r="AV537" s="3" t="s">
        <v>1291</v>
      </c>
      <c r="AW537" s="3" t="s">
        <v>1291</v>
      </c>
      <c r="AX537" s="3" t="s">
        <v>1291</v>
      </c>
      <c r="AY537" s="3" t="s">
        <v>1291</v>
      </c>
      <c r="AZ537" s="3" t="s">
        <v>1291</v>
      </c>
      <c r="BA537" s="3" t="s">
        <v>1291</v>
      </c>
      <c r="BB537" s="3" t="s">
        <v>1291</v>
      </c>
      <c r="BC537" s="3" t="s">
        <v>1291</v>
      </c>
      <c r="BD537" s="3" t="s">
        <v>1291</v>
      </c>
      <c r="BE537" s="3" t="s">
        <v>1291</v>
      </c>
      <c r="BF537" s="3" t="s">
        <v>1291</v>
      </c>
    </row>
    <row r="538" spans="1:58" x14ac:dyDescent="0.3">
      <c r="A538" s="3" t="s">
        <v>1624</v>
      </c>
      <c r="B538" s="3" t="s">
        <v>1625</v>
      </c>
      <c r="C538" s="3" t="s">
        <v>1626</v>
      </c>
      <c r="D538" s="3" t="s">
        <v>1627</v>
      </c>
      <c r="E538" s="3" t="s">
        <v>1628</v>
      </c>
      <c r="F538" s="3" t="s">
        <v>1629</v>
      </c>
      <c r="G538" s="3" t="s">
        <v>1630</v>
      </c>
      <c r="H538" s="3" t="s">
        <v>1631</v>
      </c>
      <c r="I538" s="3" t="s">
        <v>1632</v>
      </c>
      <c r="J538" s="3" t="s">
        <v>1633</v>
      </c>
      <c r="K538" s="3" t="s">
        <v>1291</v>
      </c>
      <c r="L538" s="3" t="s">
        <v>1634</v>
      </c>
      <c r="M538" s="3" t="s">
        <v>1635</v>
      </c>
      <c r="N538" s="3" t="s">
        <v>1636</v>
      </c>
      <c r="O538" s="3" t="s">
        <v>1637</v>
      </c>
      <c r="P538" s="3" t="s">
        <v>1638</v>
      </c>
      <c r="Q538" s="3" t="s">
        <v>1639</v>
      </c>
      <c r="R538" s="3" t="s">
        <v>1640</v>
      </c>
      <c r="S538" s="3" t="s">
        <v>1641</v>
      </c>
      <c r="T538" s="3" t="s">
        <v>1642</v>
      </c>
      <c r="U538" s="3" t="s">
        <v>1643</v>
      </c>
      <c r="V538" s="3" t="s">
        <v>1291</v>
      </c>
      <c r="W538" s="3" t="s">
        <v>1644</v>
      </c>
      <c r="X538" s="3" t="s">
        <v>1645</v>
      </c>
      <c r="Y538" s="3" t="s">
        <v>1646</v>
      </c>
      <c r="Z538" s="3" t="s">
        <v>1647</v>
      </c>
      <c r="AA538" s="3" t="s">
        <v>1648</v>
      </c>
      <c r="AB538" s="3" t="s">
        <v>1649</v>
      </c>
      <c r="AC538" s="3" t="s">
        <v>1291</v>
      </c>
      <c r="AD538" s="3" t="s">
        <v>1650</v>
      </c>
      <c r="AE538" s="3" t="s">
        <v>1651</v>
      </c>
      <c r="AF538" s="3" t="s">
        <v>1652</v>
      </c>
      <c r="AG538" s="3" t="s">
        <v>1653</v>
      </c>
      <c r="AH538" s="3" t="s">
        <v>1654</v>
      </c>
      <c r="AI538" s="3" t="s">
        <v>1655</v>
      </c>
      <c r="AJ538" s="3" t="s">
        <v>1656</v>
      </c>
      <c r="AK538" s="3" t="s">
        <v>1657</v>
      </c>
      <c r="AL538" s="3" t="s">
        <v>1291</v>
      </c>
      <c r="AM538" s="3" t="s">
        <v>1658</v>
      </c>
      <c r="AN538" s="3" t="s">
        <v>1659</v>
      </c>
      <c r="AO538" s="3" t="s">
        <v>1660</v>
      </c>
      <c r="AP538" s="3" t="s">
        <v>1291</v>
      </c>
      <c r="AQ538" s="3" t="s">
        <v>1661</v>
      </c>
      <c r="AR538" s="3" t="s">
        <v>1662</v>
      </c>
      <c r="AS538" s="3" t="s">
        <v>1663</v>
      </c>
      <c r="AT538" s="3" t="s">
        <v>1291</v>
      </c>
      <c r="AU538" s="3" t="s">
        <v>1664</v>
      </c>
      <c r="AV538" s="3" t="s">
        <v>1665</v>
      </c>
      <c r="AW538" s="3" t="s">
        <v>1666</v>
      </c>
      <c r="AX538" s="3" t="s">
        <v>1667</v>
      </c>
      <c r="AY538" s="3" t="s">
        <v>1291</v>
      </c>
      <c r="AZ538" s="3" t="s">
        <v>1668</v>
      </c>
      <c r="BA538" s="3" t="s">
        <v>1669</v>
      </c>
      <c r="BB538" s="3" t="s">
        <v>1291</v>
      </c>
      <c r="BC538" s="3" t="s">
        <v>1670</v>
      </c>
      <c r="BD538" s="3" t="s">
        <v>1291</v>
      </c>
      <c r="BE538" s="3" t="s">
        <v>1291</v>
      </c>
      <c r="BF538" s="3" t="s">
        <v>1291</v>
      </c>
    </row>
  </sheetData>
  <sortState xmlns:xlrd2="http://schemas.microsoft.com/office/spreadsheetml/2017/richdata2" ref="D184:D208">
    <sortCondition ref="D184:D208"/>
  </sortState>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F2E1B-9204-4469-992B-5B91BDF17BB9}">
  <dimension ref="A1:V81"/>
  <sheetViews>
    <sheetView topLeftCell="I61" workbookViewId="0">
      <selection activeCell="O3" sqref="O3:O81"/>
    </sheetView>
  </sheetViews>
  <sheetFormatPr defaultRowHeight="14.4" x14ac:dyDescent="0.3"/>
  <cols>
    <col min="1" max="1" width="41.33203125" style="3" bestFit="1" customWidth="1"/>
    <col min="2" max="2" width="18.88671875" style="3" bestFit="1" customWidth="1"/>
    <col min="3" max="3" width="8.88671875" style="3" customWidth="1"/>
    <col min="4" max="6" width="8.88671875" style="3"/>
    <col min="7" max="7" width="9.6640625" style="3" bestFit="1" customWidth="1"/>
    <col min="8" max="8" width="47.5546875" style="3" bestFit="1" customWidth="1"/>
    <col min="9" max="9" width="20.21875" style="3" bestFit="1" customWidth="1"/>
    <col min="10" max="11" width="8.88671875" style="3"/>
    <col min="12" max="12" width="56.33203125" style="3" hidden="1" customWidth="1"/>
    <col min="13" max="13" width="8.88671875" style="3"/>
    <col min="14" max="14" width="49.21875" style="3" bestFit="1" customWidth="1"/>
    <col min="15" max="15" width="45.5546875" style="3" bestFit="1" customWidth="1"/>
    <col min="16" max="16384" width="8.88671875" style="3"/>
  </cols>
  <sheetData>
    <row r="1" spans="1:22" x14ac:dyDescent="0.3">
      <c r="A1" s="3" t="s">
        <v>1167</v>
      </c>
      <c r="B1" s="3" t="s">
        <v>1168</v>
      </c>
      <c r="C1" s="3" t="s">
        <v>1169</v>
      </c>
      <c r="F1" s="3" t="s">
        <v>1170</v>
      </c>
      <c r="G1" s="3" t="s">
        <v>1171</v>
      </c>
      <c r="H1" s="3" t="s">
        <v>1167</v>
      </c>
      <c r="I1" s="3" t="s">
        <v>1168</v>
      </c>
      <c r="J1" s="3" t="s">
        <v>1169</v>
      </c>
      <c r="M1" s="3" t="s">
        <v>852</v>
      </c>
    </row>
    <row r="3" spans="1:22" x14ac:dyDescent="0.3">
      <c r="A3" s="1" t="s">
        <v>1031</v>
      </c>
      <c r="B3" s="3" t="s">
        <v>1172</v>
      </c>
      <c r="C3" s="3">
        <v>2</v>
      </c>
      <c r="F3" s="3" t="s">
        <v>1173</v>
      </c>
      <c r="G3" s="3" t="str">
        <f>"2022_2023"</f>
        <v>2022_2023</v>
      </c>
      <c r="H3" s="3" t="s">
        <v>1174</v>
      </c>
      <c r="I3" s="3" t="str">
        <f>VLOOKUP(H3, $A$3:$C$31, 2)</f>
        <v>GECH</v>
      </c>
      <c r="J3" s="3">
        <f>VLOOKUP(H3, $A$3:$C$31, 3)</f>
        <v>2</v>
      </c>
      <c r="L3" s="3" t="str">
        <f>"    (@MAJOR_" &amp; F3 &amp; ", @CATALOG_" &amp; G3 &amp; ", 'GROUP_" &amp; F3 &amp; "_" &amp; I3 &amp; "', '" &amp; F3 &amp; " " &amp; H3 &amp; "', " &amp; J3 &amp; "),"</f>
        <v xml:space="preserve">    (@MAJOR_BSCP, @CATALOG_2022_2023, 'GROUP_BSCP_GECH', 'BSCP General Education Core Humanities', 2),</v>
      </c>
      <c r="N3" s="3" t="str">
        <f>"    @GROUP_" &amp; F3  &amp; "_" &amp; G3 &amp; "_" &amp; I3 &amp; " INT,"</f>
        <v xml:space="preserve">    @GROUP_BSCP_2022_2023_GECH INT,</v>
      </c>
      <c r="O3" s="3" t="str">
        <f>MID(N3, 1, LEN(N3) - 5)</f>
        <v xml:space="preserve">    @GROUP_BSCP_2022_2023_GECH</v>
      </c>
      <c r="P3" s="3">
        <f>FIND(" ", L3, 20)</f>
        <v>38</v>
      </c>
      <c r="Q3" s="3">
        <f>FIND(" ", L3, P3 + 1)</f>
        <v>57</v>
      </c>
      <c r="R3" s="3" t="str">
        <f>MID(L3, P3 + 1, Q3 - P3 - 2)</f>
        <v>'GROUP_BSCP_GECH'</v>
      </c>
      <c r="T3" s="3" t="str">
        <f>"SELECT " &amp; MID(O3, 5, 100) &amp; " = RequirementGroupID FROM Bellini.RequirementGroup WHERE MajorID = @MAJOR_" &amp; F3 &amp; " AND CatalogID = @CATALOG_" &amp; G3 &amp; " AND GroupCode = " &amp; R3 &amp; ";"</f>
        <v>SELECT @GROUP_BSCP_2022_2023_GECH = RequirementGroupID FROM Bellini.RequirementGroup WHERE MajorID = @MAJOR_BSCP AND CatalogID = @CATALOG_2022_2023 AND GroupCode = 'GROUP_BSCP_GECH';</v>
      </c>
      <c r="V3" s="3" t="s">
        <v>1175</v>
      </c>
    </row>
    <row r="4" spans="1:22" x14ac:dyDescent="0.3">
      <c r="A4" s="3" t="s">
        <v>1030</v>
      </c>
      <c r="B4" s="3" t="s">
        <v>1176</v>
      </c>
      <c r="C4" s="3">
        <v>2</v>
      </c>
      <c r="F4" s="3" t="s">
        <v>1173</v>
      </c>
      <c r="G4" s="3" t="str">
        <f t="shared" ref="G4:G15" si="0">"2022_2023"</f>
        <v>2022_2023</v>
      </c>
      <c r="H4" s="3" t="s">
        <v>1177</v>
      </c>
      <c r="I4" s="3" t="str">
        <f t="shared" ref="I4:I67" si="1">VLOOKUP(H4, $A$3:$C$31, 2)</f>
        <v>GECM</v>
      </c>
      <c r="J4" s="3">
        <f t="shared" ref="J4:J67" si="2">VLOOKUP(H4, $A$3:$C$31, 3)</f>
        <v>2</v>
      </c>
      <c r="L4" s="3" t="str">
        <f t="shared" ref="L4:L67" si="3">"    (@MAJOR_" &amp; F4 &amp; ", @CATALOG_" &amp; G4 &amp; ", 'GROUP_" &amp; F4 &amp; "_" &amp; I4 &amp; "', '" &amp; F4 &amp; " " &amp; H4 &amp; "', " &amp; J4 &amp; "),"</f>
        <v xml:space="preserve">    (@MAJOR_BSCP, @CATALOG_2022_2023, 'GROUP_BSCP_GECM', 'BSCP General Education Core Mathematics', 2),</v>
      </c>
      <c r="N4" s="3" t="str">
        <f t="shared" ref="N4:N67" si="4">"    @GROUP_" &amp; F4  &amp; "_" &amp; G4 &amp; "_" &amp; I4 &amp; " INT,"</f>
        <v xml:space="preserve">    @GROUP_BSCP_2022_2023_GECM INT,</v>
      </c>
      <c r="O4" s="3" t="str">
        <f t="shared" ref="O4:O67" si="5">MID(N4, 1, LEN(N4) - 5)</f>
        <v xml:space="preserve">    @GROUP_BSCP_2022_2023_GECM</v>
      </c>
      <c r="P4" s="3">
        <f t="shared" ref="P4:P67" si="6">FIND(" ", L4, 20)</f>
        <v>38</v>
      </c>
      <c r="Q4" s="3">
        <f t="shared" ref="Q4:Q67" si="7">FIND(" ", L4, P4 + 1)</f>
        <v>57</v>
      </c>
      <c r="R4" s="3" t="str">
        <f t="shared" ref="R4:R67" si="8">MID(L4, P4 + 1, Q4 - P4 - 2)</f>
        <v>'GROUP_BSCP_GECM'</v>
      </c>
      <c r="T4" s="3" t="str">
        <f t="shared" ref="T4:T67" si="9">"SELECT " &amp; MID(O4, 5, 100) &amp; " = RequirementGroupID FROM Bellini.RequirementGroup WHERE MajorID = @MAJOR_" &amp; F4 &amp; " AND CatalogID = @CATALOG_" &amp; G4 &amp; " AND GroupCode = " &amp; R4 &amp; ";"</f>
        <v>SELECT @GROUP_BSCP_2022_2023_GECM = RequirementGroupID FROM Bellini.RequirementGroup WHERE MajorID = @MAJOR_BSCP AND CatalogID = @CATALOG_2022_2023 AND GroupCode = 'GROUP_BSCP_GECM';</v>
      </c>
    </row>
    <row r="5" spans="1:22" x14ac:dyDescent="0.3">
      <c r="A5" s="1" t="s">
        <v>1039</v>
      </c>
      <c r="B5" s="3" t="s">
        <v>1172</v>
      </c>
      <c r="C5" s="3">
        <v>2</v>
      </c>
      <c r="F5" s="3" t="s">
        <v>1173</v>
      </c>
      <c r="G5" s="3" t="str">
        <f t="shared" si="0"/>
        <v>2022_2023</v>
      </c>
      <c r="H5" s="3" t="s">
        <v>1178</v>
      </c>
      <c r="I5" s="3" t="str">
        <f t="shared" si="1"/>
        <v>GECN</v>
      </c>
      <c r="J5" s="3">
        <f t="shared" si="2"/>
        <v>2</v>
      </c>
      <c r="L5" s="3" t="str">
        <f t="shared" si="3"/>
        <v xml:space="preserve">    (@MAJOR_BSCP, @CATALOG_2022_2023, 'GROUP_BSCP_GECN', 'BSCP General Education Core Natural Sciences Elective', 2),</v>
      </c>
      <c r="N5" s="3" t="str">
        <f t="shared" si="4"/>
        <v xml:space="preserve">    @GROUP_BSCP_2022_2023_GECN INT,</v>
      </c>
      <c r="O5" s="3" t="str">
        <f t="shared" si="5"/>
        <v xml:space="preserve">    @GROUP_BSCP_2022_2023_GECN</v>
      </c>
      <c r="P5" s="3">
        <f t="shared" si="6"/>
        <v>38</v>
      </c>
      <c r="Q5" s="3">
        <f t="shared" si="7"/>
        <v>57</v>
      </c>
      <c r="R5" s="3" t="str">
        <f t="shared" si="8"/>
        <v>'GROUP_BSCP_GECN'</v>
      </c>
      <c r="T5" s="3" t="str">
        <f t="shared" si="9"/>
        <v>SELECT @GROUP_BSCP_2022_2023_GECN = RequirementGroupID FROM Bellini.RequirementGroup WHERE MajorID = @MAJOR_BSCP AND CatalogID = @CATALOG_2022_2023 AND GroupCode = 'GROUP_BSCP_GECN';</v>
      </c>
    </row>
    <row r="6" spans="1:22" x14ac:dyDescent="0.3">
      <c r="A6" s="1" t="s">
        <v>1038</v>
      </c>
      <c r="B6" s="3" t="s">
        <v>1176</v>
      </c>
      <c r="C6" s="3">
        <v>2</v>
      </c>
      <c r="F6" s="3" t="s">
        <v>1173</v>
      </c>
      <c r="G6" s="3" t="str">
        <f t="shared" si="0"/>
        <v>2022_2023</v>
      </c>
      <c r="H6" s="3" t="s">
        <v>1179</v>
      </c>
      <c r="I6" s="3" t="str">
        <f t="shared" si="1"/>
        <v>GECS</v>
      </c>
      <c r="J6" s="3">
        <f t="shared" si="2"/>
        <v>2</v>
      </c>
      <c r="L6" s="3" t="str">
        <f t="shared" si="3"/>
        <v xml:space="preserve">    (@MAJOR_BSCP, @CATALOG_2022_2023, 'GROUP_BSCP_GECS', 'BSCP General Education Core Social Sciences', 2),</v>
      </c>
      <c r="N6" s="3" t="str">
        <f t="shared" si="4"/>
        <v xml:space="preserve">    @GROUP_BSCP_2022_2023_GECS INT,</v>
      </c>
      <c r="O6" s="3" t="str">
        <f t="shared" si="5"/>
        <v xml:space="preserve">    @GROUP_BSCP_2022_2023_GECS</v>
      </c>
      <c r="P6" s="3">
        <f t="shared" si="6"/>
        <v>38</v>
      </c>
      <c r="Q6" s="3">
        <f t="shared" si="7"/>
        <v>57</v>
      </c>
      <c r="R6" s="3" t="str">
        <f t="shared" si="8"/>
        <v>'GROUP_BSCP_GECS'</v>
      </c>
      <c r="T6" s="3" t="str">
        <f t="shared" si="9"/>
        <v>SELECT @GROUP_BSCP_2022_2023_GECS = RequirementGroupID FROM Bellini.RequirementGroup WHERE MajorID = @MAJOR_BSCP AND CatalogID = @CATALOG_2022_2023 AND GroupCode = 'GROUP_BSCP_GECS';</v>
      </c>
    </row>
    <row r="7" spans="1:22" x14ac:dyDescent="0.3">
      <c r="A7" s="3" t="s">
        <v>1029</v>
      </c>
      <c r="B7" s="3" t="s">
        <v>1180</v>
      </c>
      <c r="C7" s="3">
        <v>31</v>
      </c>
      <c r="F7" s="3" t="s">
        <v>1173</v>
      </c>
      <c r="G7" s="3" t="str">
        <f t="shared" si="0"/>
        <v>2022_2023</v>
      </c>
      <c r="H7" s="3" t="s">
        <v>280</v>
      </c>
      <c r="I7" s="3" t="str">
        <f t="shared" si="1"/>
        <v>CALC_1</v>
      </c>
      <c r="J7" s="3">
        <f t="shared" si="2"/>
        <v>1</v>
      </c>
      <c r="L7" s="3" t="str">
        <f t="shared" si="3"/>
        <v xml:space="preserve">    (@MAJOR_BSCP, @CATALOG_2022_2023, 'GROUP_BSCP_CALC_1', 'BSCP Calculus I', 1),</v>
      </c>
      <c r="N7" s="3" t="str">
        <f t="shared" si="4"/>
        <v xml:space="preserve">    @GROUP_BSCP_2022_2023_CALC_1 INT,</v>
      </c>
      <c r="O7" s="3" t="str">
        <f t="shared" si="5"/>
        <v xml:space="preserve">    @GROUP_BSCP_2022_2023_CALC_1</v>
      </c>
      <c r="P7" s="3">
        <f t="shared" si="6"/>
        <v>38</v>
      </c>
      <c r="Q7" s="3">
        <f t="shared" si="7"/>
        <v>59</v>
      </c>
      <c r="R7" s="3" t="str">
        <f t="shared" si="8"/>
        <v>'GROUP_BSCP_CALC_1'</v>
      </c>
      <c r="T7" s="3" t="str">
        <f t="shared" si="9"/>
        <v>SELECT @GROUP_BSCP_2022_2023_CALC_1 = RequirementGroupID FROM Bellini.RequirementGroup WHERE MajorID = @MAJOR_BSCP AND CatalogID = @CATALOG_2022_2023 AND GroupCode = 'GROUP_BSCP_CALC_1';</v>
      </c>
    </row>
    <row r="8" spans="1:22" x14ac:dyDescent="0.3">
      <c r="A8" s="1" t="s">
        <v>1033</v>
      </c>
      <c r="B8" s="3" t="s">
        <v>1172</v>
      </c>
      <c r="C8" s="3">
        <v>7</v>
      </c>
      <c r="F8" s="3" t="s">
        <v>1173</v>
      </c>
      <c r="G8" s="3" t="str">
        <f t="shared" si="0"/>
        <v>2022_2023</v>
      </c>
      <c r="H8" s="3" t="s">
        <v>282</v>
      </c>
      <c r="I8" s="3" t="str">
        <f t="shared" si="1"/>
        <v>CALC_2</v>
      </c>
      <c r="J8" s="3">
        <f t="shared" si="2"/>
        <v>1</v>
      </c>
      <c r="L8" s="3" t="str">
        <f t="shared" si="3"/>
        <v xml:space="preserve">    (@MAJOR_BSCP, @CATALOG_2022_2023, 'GROUP_BSCP_CALC_2', 'BSCP Calculus II', 1),</v>
      </c>
      <c r="N8" s="3" t="str">
        <f t="shared" si="4"/>
        <v xml:space="preserve">    @GROUP_BSCP_2022_2023_CALC_2 INT,</v>
      </c>
      <c r="O8" s="3" t="str">
        <f t="shared" si="5"/>
        <v xml:space="preserve">    @GROUP_BSCP_2022_2023_CALC_2</v>
      </c>
      <c r="P8" s="3">
        <f t="shared" si="6"/>
        <v>38</v>
      </c>
      <c r="Q8" s="3">
        <f t="shared" si="7"/>
        <v>59</v>
      </c>
      <c r="R8" s="3" t="str">
        <f t="shared" si="8"/>
        <v>'GROUP_BSCP_CALC_2'</v>
      </c>
      <c r="T8" s="3" t="str">
        <f t="shared" si="9"/>
        <v>SELECT @GROUP_BSCP_2022_2023_CALC_2 = RequirementGroupID FROM Bellini.RequirementGroup WHERE MajorID = @MAJOR_BSCP AND CatalogID = @CATALOG_2022_2023 AND GroupCode = 'GROUP_BSCP_CALC_2';</v>
      </c>
    </row>
    <row r="9" spans="1:22" x14ac:dyDescent="0.3">
      <c r="A9" s="1" t="s">
        <v>1042</v>
      </c>
      <c r="B9" s="3" t="s">
        <v>1172</v>
      </c>
      <c r="C9" s="3">
        <v>4</v>
      </c>
      <c r="F9" s="3" t="s">
        <v>1173</v>
      </c>
      <c r="G9" s="3" t="str">
        <f t="shared" si="0"/>
        <v>2022_2023</v>
      </c>
      <c r="H9" s="3" t="s">
        <v>284</v>
      </c>
      <c r="I9" s="3" t="str">
        <f t="shared" si="1"/>
        <v>CALC_3</v>
      </c>
      <c r="J9" s="3">
        <f t="shared" si="2"/>
        <v>1</v>
      </c>
      <c r="L9" s="3" t="str">
        <f t="shared" si="3"/>
        <v xml:space="preserve">    (@MAJOR_BSCP, @CATALOG_2022_2023, 'GROUP_BSCP_CALC_3', 'BSCP Calculus III', 1),</v>
      </c>
      <c r="N9" s="3" t="str">
        <f t="shared" si="4"/>
        <v xml:space="preserve">    @GROUP_BSCP_2022_2023_CALC_3 INT,</v>
      </c>
      <c r="O9" s="3" t="str">
        <f t="shared" si="5"/>
        <v xml:space="preserve">    @GROUP_BSCP_2022_2023_CALC_3</v>
      </c>
      <c r="P9" s="3">
        <f t="shared" si="6"/>
        <v>38</v>
      </c>
      <c r="Q9" s="3">
        <f t="shared" si="7"/>
        <v>59</v>
      </c>
      <c r="R9" s="3" t="str">
        <f t="shared" si="8"/>
        <v>'GROUP_BSCP_CALC_3'</v>
      </c>
      <c r="T9" s="3" t="str">
        <f t="shared" si="9"/>
        <v>SELECT @GROUP_BSCP_2022_2023_CALC_3 = RequirementGroupID FROM Bellini.RequirementGroup WHERE MajorID = @MAJOR_BSCP AND CatalogID = @CATALOG_2022_2023 AND GroupCode = 'GROUP_BSCP_CALC_3';</v>
      </c>
    </row>
    <row r="10" spans="1:22" x14ac:dyDescent="0.3">
      <c r="A10" s="1" t="s">
        <v>1040</v>
      </c>
      <c r="B10" s="3" t="s">
        <v>1181</v>
      </c>
      <c r="C10" s="3">
        <v>2</v>
      </c>
      <c r="F10" s="3" t="s">
        <v>1173</v>
      </c>
      <c r="G10" s="3" t="str">
        <f t="shared" si="0"/>
        <v>2022_2023</v>
      </c>
      <c r="H10" s="3" t="s">
        <v>290</v>
      </c>
      <c r="I10" s="3" t="str">
        <f t="shared" si="1"/>
        <v>DIFF_EQ</v>
      </c>
      <c r="J10" s="3">
        <f t="shared" si="2"/>
        <v>1</v>
      </c>
      <c r="L10" s="3" t="str">
        <f t="shared" si="3"/>
        <v xml:space="preserve">    (@MAJOR_BSCP, @CATALOG_2022_2023, 'GROUP_BSCP_DIFF_EQ', 'BSCP Differential Equations', 1),</v>
      </c>
      <c r="N10" s="3" t="str">
        <f t="shared" si="4"/>
        <v xml:space="preserve">    @GROUP_BSCP_2022_2023_DIFF_EQ INT,</v>
      </c>
      <c r="O10" s="3" t="str">
        <f t="shared" si="5"/>
        <v xml:space="preserve">    @GROUP_BSCP_2022_2023_DIFF_EQ</v>
      </c>
      <c r="P10" s="3">
        <f t="shared" si="6"/>
        <v>38</v>
      </c>
      <c r="Q10" s="3">
        <f t="shared" si="7"/>
        <v>60</v>
      </c>
      <c r="R10" s="3" t="str">
        <f t="shared" si="8"/>
        <v>'GROUP_BSCP_DIFF_EQ'</v>
      </c>
      <c r="T10" s="3" t="str">
        <f t="shared" si="9"/>
        <v>SELECT @GROUP_BSCP_2022_2023_DIFF_EQ = RequirementGroupID FROM Bellini.RequirementGroup WHERE MajorID = @MAJOR_BSCP AND CatalogID = @CATALOG_2022_2023 AND GroupCode = 'GROUP_BSCP_DIFF_EQ';</v>
      </c>
    </row>
    <row r="11" spans="1:22" x14ac:dyDescent="0.3">
      <c r="A11" s="1" t="s">
        <v>1041</v>
      </c>
      <c r="B11" s="3" t="s">
        <v>1182</v>
      </c>
      <c r="C11" s="3">
        <v>1</v>
      </c>
      <c r="F11" s="3" t="s">
        <v>1173</v>
      </c>
      <c r="G11" s="3" t="str">
        <f t="shared" si="0"/>
        <v>2022_2023</v>
      </c>
      <c r="H11" s="3" t="s">
        <v>1020</v>
      </c>
      <c r="I11" s="3" t="str">
        <f t="shared" si="1"/>
        <v>CHEM_1</v>
      </c>
      <c r="J11" s="3">
        <f t="shared" si="2"/>
        <v>1</v>
      </c>
      <c r="L11" s="3" t="str">
        <f t="shared" si="3"/>
        <v xml:space="preserve">    (@MAJOR_BSCP, @CATALOG_2022_2023, 'GROUP_BSCP_CHEM_1', 'BSCP Chemistry I', 1),</v>
      </c>
      <c r="M11" s="1"/>
      <c r="N11" s="3" t="str">
        <f t="shared" si="4"/>
        <v xml:space="preserve">    @GROUP_BSCP_2022_2023_CHEM_1 INT,</v>
      </c>
      <c r="O11" s="3" t="str">
        <f t="shared" si="5"/>
        <v xml:space="preserve">    @GROUP_BSCP_2022_2023_CHEM_1</v>
      </c>
      <c r="P11" s="3">
        <f t="shared" si="6"/>
        <v>38</v>
      </c>
      <c r="Q11" s="3">
        <f t="shared" si="7"/>
        <v>59</v>
      </c>
      <c r="R11" s="3" t="str">
        <f t="shared" si="8"/>
        <v>'GROUP_BSCP_CHEM_1'</v>
      </c>
      <c r="T11" s="3" t="str">
        <f t="shared" si="9"/>
        <v>SELECT @GROUP_BSCP_2022_2023_CHEM_1 = RequirementGroupID FROM Bellini.RequirementGroup WHERE MajorID = @MAJOR_BSCP AND CatalogID = @CATALOG_2022_2023 AND GroupCode = 'GROUP_BSCP_CHEM_1';</v>
      </c>
    </row>
    <row r="12" spans="1:22" x14ac:dyDescent="0.3">
      <c r="A12" s="3" t="s">
        <v>1049</v>
      </c>
      <c r="B12" s="3" t="s">
        <v>1180</v>
      </c>
      <c r="C12" s="3">
        <v>25</v>
      </c>
      <c r="F12" s="3" t="s">
        <v>1173</v>
      </c>
      <c r="G12" s="3" t="str">
        <f t="shared" si="0"/>
        <v>2022_2023</v>
      </c>
      <c r="H12" s="3" t="s">
        <v>1021</v>
      </c>
      <c r="I12" s="3" t="str">
        <f t="shared" si="1"/>
        <v>CHEM_1_LAB</v>
      </c>
      <c r="J12" s="3">
        <f t="shared" si="2"/>
        <v>1</v>
      </c>
      <c r="L12" s="3" t="str">
        <f t="shared" si="3"/>
        <v xml:space="preserve">    (@MAJOR_BSCP, @CATALOG_2022_2023, 'GROUP_BSCP_CHEM_1_LAB', 'BSCP Chemistry I Lab', 1),</v>
      </c>
      <c r="N12" s="3" t="str">
        <f t="shared" si="4"/>
        <v xml:space="preserve">    @GROUP_BSCP_2022_2023_CHEM_1_LAB INT,</v>
      </c>
      <c r="O12" s="3" t="str">
        <f t="shared" si="5"/>
        <v xml:space="preserve">    @GROUP_BSCP_2022_2023_CHEM_1_LAB</v>
      </c>
      <c r="P12" s="3">
        <f t="shared" si="6"/>
        <v>38</v>
      </c>
      <c r="Q12" s="3">
        <f t="shared" si="7"/>
        <v>63</v>
      </c>
      <c r="R12" s="3" t="str">
        <f t="shared" si="8"/>
        <v>'GROUP_BSCP_CHEM_1_LAB'</v>
      </c>
      <c r="T12" s="3" t="str">
        <f t="shared" si="9"/>
        <v>SELECT @GROUP_BSCP_2022_2023_CHEM_1_LAB = RequirementGroupID FROM Bellini.RequirementGroup WHERE MajorID = @MAJOR_BSCP AND CatalogID = @CATALOG_2022_2023 AND GroupCode = 'GROUP_BSCP_CHEM_1_LAB';</v>
      </c>
    </row>
    <row r="13" spans="1:22" x14ac:dyDescent="0.3">
      <c r="A13" s="1" t="s">
        <v>1035</v>
      </c>
      <c r="B13" s="3" t="s">
        <v>1172</v>
      </c>
      <c r="C13" s="3">
        <v>3</v>
      </c>
      <c r="F13" s="3" t="s">
        <v>1173</v>
      </c>
      <c r="G13" s="3" t="str">
        <f t="shared" si="0"/>
        <v>2022_2023</v>
      </c>
      <c r="H13" s="3" t="s">
        <v>1029</v>
      </c>
      <c r="I13" s="3" t="str">
        <f t="shared" si="1"/>
        <v>GENERAL</v>
      </c>
      <c r="J13" s="3">
        <f t="shared" si="2"/>
        <v>31</v>
      </c>
      <c r="L13" s="3" t="str">
        <f t="shared" si="3"/>
        <v xml:space="preserve">    (@MAJOR_BSCP, @CATALOG_2022_2023, 'GROUP_BSCP_GENERAL', 'BSCP BSCP General', 31),</v>
      </c>
      <c r="N13" s="3" t="str">
        <f t="shared" si="4"/>
        <v xml:space="preserve">    @GROUP_BSCP_2022_2023_GENERAL INT,</v>
      </c>
      <c r="O13" s="3" t="str">
        <f t="shared" si="5"/>
        <v xml:space="preserve">    @GROUP_BSCP_2022_2023_GENERAL</v>
      </c>
      <c r="P13" s="3">
        <f t="shared" si="6"/>
        <v>38</v>
      </c>
      <c r="Q13" s="3">
        <f t="shared" si="7"/>
        <v>60</v>
      </c>
      <c r="R13" s="3" t="str">
        <f t="shared" si="8"/>
        <v>'GROUP_BSCP_GENERAL'</v>
      </c>
      <c r="T13" s="3" t="str">
        <f t="shared" si="9"/>
        <v>SELECT @GROUP_BSCP_2022_2023_GENERAL = RequirementGroupID FROM Bellini.RequirementGroup WHERE MajorID = @MAJOR_BSCP AND CatalogID = @CATALOG_2022_2023 AND GroupCode = 'GROUP_BSCP_GENERAL';</v>
      </c>
    </row>
    <row r="14" spans="1:22" x14ac:dyDescent="0.3">
      <c r="A14" s="1" t="s">
        <v>1043</v>
      </c>
      <c r="B14" s="3" t="s">
        <v>1172</v>
      </c>
      <c r="C14" s="3">
        <v>3</v>
      </c>
      <c r="F14" s="3" t="s">
        <v>1173</v>
      </c>
      <c r="G14" s="3" t="str">
        <f t="shared" si="0"/>
        <v>2022_2023</v>
      </c>
      <c r="H14" s="3" t="s">
        <v>1030</v>
      </c>
      <c r="I14" s="3" t="str">
        <f t="shared" si="1"/>
        <v>HARDWARE_ELECTIVES</v>
      </c>
      <c r="J14" s="3">
        <f t="shared" si="2"/>
        <v>2</v>
      </c>
      <c r="L14" s="3" t="str">
        <f t="shared" si="3"/>
        <v xml:space="preserve">    (@MAJOR_BSCP, @CATALOG_2022_2023, 'GROUP_BSCP_HARDWARE_ELECTIVES', 'BSCP BSCP 2022 Hardware Electives', 2),</v>
      </c>
      <c r="N14" s="3" t="str">
        <f t="shared" si="4"/>
        <v xml:space="preserve">    @GROUP_BSCP_2022_2023_HARDWARE_ELECTIVES INT,</v>
      </c>
      <c r="O14" s="3" t="str">
        <f t="shared" si="5"/>
        <v xml:space="preserve">    @GROUP_BSCP_2022_2023_HARDWARE_ELECTIVES</v>
      </c>
      <c r="P14" s="3">
        <f t="shared" si="6"/>
        <v>38</v>
      </c>
      <c r="Q14" s="3">
        <f t="shared" si="7"/>
        <v>71</v>
      </c>
      <c r="R14" s="3" t="str">
        <f t="shared" si="8"/>
        <v>'GROUP_BSCP_HARDWARE_ELECTIVES'</v>
      </c>
      <c r="T14" s="3" t="str">
        <f t="shared" si="9"/>
        <v>SELECT @GROUP_BSCP_2022_2023_HARDWARE_ELECTIVES = RequirementGroupID FROM Bellini.RequirementGroup WHERE MajorID = @MAJOR_BSCP AND CatalogID = @CATALOG_2022_2023 AND GroupCode = 'GROUP_BSCP_HARDWARE_ELECTIVES';</v>
      </c>
    </row>
    <row r="15" spans="1:22" x14ac:dyDescent="0.3">
      <c r="A15" s="1" t="s">
        <v>1045</v>
      </c>
      <c r="B15" s="3" t="s">
        <v>1180</v>
      </c>
      <c r="C15" s="3">
        <v>31</v>
      </c>
      <c r="F15" s="3" t="s">
        <v>1173</v>
      </c>
      <c r="G15" s="3" t="str">
        <f t="shared" si="0"/>
        <v>2022_2023</v>
      </c>
      <c r="H15" s="1" t="s">
        <v>1031</v>
      </c>
      <c r="I15" s="3" t="str">
        <f t="shared" si="1"/>
        <v>ELECTIVES</v>
      </c>
      <c r="J15" s="3">
        <f t="shared" si="2"/>
        <v>2</v>
      </c>
      <c r="K15" s="1"/>
      <c r="L15" s="3" t="str">
        <f t="shared" si="3"/>
        <v xml:space="preserve">    (@MAJOR_BSCP, @CATALOG_2022_2023, 'GROUP_BSCP_ELECTIVES', 'BSCP BSCP 2022 Electives', 2),</v>
      </c>
      <c r="N15" s="3" t="str">
        <f t="shared" si="4"/>
        <v xml:space="preserve">    @GROUP_BSCP_2022_2023_ELECTIVES INT,</v>
      </c>
      <c r="O15" s="3" t="str">
        <f t="shared" si="5"/>
        <v xml:space="preserve">    @GROUP_BSCP_2022_2023_ELECTIVES</v>
      </c>
      <c r="P15" s="3">
        <f t="shared" si="6"/>
        <v>38</v>
      </c>
      <c r="Q15" s="3">
        <f t="shared" si="7"/>
        <v>62</v>
      </c>
      <c r="R15" s="3" t="str">
        <f t="shared" si="8"/>
        <v>'GROUP_BSCP_ELECTIVES'</v>
      </c>
      <c r="T15" s="3" t="str">
        <f t="shared" si="9"/>
        <v>SELECT @GROUP_BSCP_2022_2023_ELECTIVES = RequirementGroupID FROM Bellini.RequirementGroup WHERE MajorID = @MAJOR_BSCP AND CatalogID = @CATALOG_2022_2023 AND GroupCode = 'GROUP_BSCP_ELECTIVES';</v>
      </c>
    </row>
    <row r="16" spans="1:22" x14ac:dyDescent="0.3">
      <c r="A16" s="1" t="s">
        <v>1037</v>
      </c>
      <c r="B16" s="3" t="s">
        <v>1172</v>
      </c>
      <c r="C16" s="3">
        <v>5</v>
      </c>
      <c r="H16" s="1"/>
    </row>
    <row r="17" spans="1:20" x14ac:dyDescent="0.3">
      <c r="A17" s="1" t="s">
        <v>1047</v>
      </c>
      <c r="B17" s="3" t="s">
        <v>1183</v>
      </c>
      <c r="C17" s="3">
        <v>1</v>
      </c>
      <c r="F17" s="3" t="s">
        <v>1173</v>
      </c>
      <c r="G17" s="3" t="str">
        <f>"2023_2024"</f>
        <v>2023_2024</v>
      </c>
      <c r="H17" s="3" t="s">
        <v>1174</v>
      </c>
      <c r="I17" s="3" t="str">
        <f t="shared" si="1"/>
        <v>GECH</v>
      </c>
      <c r="J17" s="3">
        <f t="shared" si="2"/>
        <v>2</v>
      </c>
      <c r="L17" s="3" t="str">
        <f t="shared" si="3"/>
        <v xml:space="preserve">    (@MAJOR_BSCP, @CATALOG_2023_2024, 'GROUP_BSCP_GECH', 'BSCP General Education Core Humanities', 2),</v>
      </c>
      <c r="N17" s="3" t="str">
        <f t="shared" si="4"/>
        <v xml:space="preserve">    @GROUP_BSCP_2023_2024_GECH INT,</v>
      </c>
      <c r="O17" s="3" t="str">
        <f t="shared" si="5"/>
        <v xml:space="preserve">    @GROUP_BSCP_2023_2024_GECH</v>
      </c>
      <c r="P17" s="3">
        <f t="shared" si="6"/>
        <v>38</v>
      </c>
      <c r="Q17" s="3">
        <f t="shared" si="7"/>
        <v>57</v>
      </c>
      <c r="R17" s="3" t="str">
        <f t="shared" si="8"/>
        <v>'GROUP_BSCP_GECH'</v>
      </c>
      <c r="T17" s="3" t="str">
        <f t="shared" si="9"/>
        <v>SELECT @GROUP_BSCP_2023_2024_GECH = RequirementGroupID FROM Bellini.RequirementGroup WHERE MajorID = @MAJOR_BSCP AND CatalogID = @CATALOG_2023_2024 AND GroupCode = 'GROUP_BSCP_GECH';</v>
      </c>
    </row>
    <row r="18" spans="1:20" x14ac:dyDescent="0.3">
      <c r="A18" s="1" t="s">
        <v>1044</v>
      </c>
      <c r="B18" s="3" t="s">
        <v>1172</v>
      </c>
      <c r="C18" s="3">
        <v>5</v>
      </c>
      <c r="F18" s="3" t="s">
        <v>1173</v>
      </c>
      <c r="G18" s="3" t="str">
        <f t="shared" ref="G18:G29" si="10">"2023_2024"</f>
        <v>2023_2024</v>
      </c>
      <c r="H18" s="3" t="s">
        <v>1177</v>
      </c>
      <c r="I18" s="3" t="str">
        <f t="shared" si="1"/>
        <v>GECM</v>
      </c>
      <c r="J18" s="3">
        <f t="shared" si="2"/>
        <v>2</v>
      </c>
      <c r="L18" s="3" t="str">
        <f t="shared" si="3"/>
        <v xml:space="preserve">    (@MAJOR_BSCP, @CATALOG_2023_2024, 'GROUP_BSCP_GECM', 'BSCP General Education Core Mathematics', 2),</v>
      </c>
      <c r="N18" s="3" t="str">
        <f t="shared" si="4"/>
        <v xml:space="preserve">    @GROUP_BSCP_2023_2024_GECM INT,</v>
      </c>
      <c r="O18" s="3" t="str">
        <f t="shared" si="5"/>
        <v xml:space="preserve">    @GROUP_BSCP_2023_2024_GECM</v>
      </c>
      <c r="P18" s="3">
        <f t="shared" si="6"/>
        <v>38</v>
      </c>
      <c r="Q18" s="3">
        <f t="shared" si="7"/>
        <v>57</v>
      </c>
      <c r="R18" s="3" t="str">
        <f t="shared" si="8"/>
        <v>'GROUP_BSCP_GECM'</v>
      </c>
      <c r="T18" s="3" t="str">
        <f t="shared" si="9"/>
        <v>SELECT @GROUP_BSCP_2023_2024_GECM = RequirementGroupID FROM Bellini.RequirementGroup WHERE MajorID = @MAJOR_BSCP AND CatalogID = @CATALOG_2023_2024 AND GroupCode = 'GROUP_BSCP_GECM';</v>
      </c>
    </row>
    <row r="19" spans="1:20" x14ac:dyDescent="0.3">
      <c r="A19" s="3" t="s">
        <v>1048</v>
      </c>
      <c r="B19" s="3" t="s">
        <v>1183</v>
      </c>
      <c r="C19" s="3">
        <v>1</v>
      </c>
      <c r="F19" s="3" t="s">
        <v>1173</v>
      </c>
      <c r="G19" s="3" t="str">
        <f t="shared" si="10"/>
        <v>2023_2024</v>
      </c>
      <c r="H19" s="3" t="s">
        <v>1178</v>
      </c>
      <c r="I19" s="3" t="str">
        <f t="shared" si="1"/>
        <v>GECN</v>
      </c>
      <c r="J19" s="3">
        <f t="shared" si="2"/>
        <v>2</v>
      </c>
      <c r="L19" s="3" t="str">
        <f t="shared" si="3"/>
        <v xml:space="preserve">    (@MAJOR_BSCP, @CATALOG_2023_2024, 'GROUP_BSCP_GECN', 'BSCP General Education Core Natural Sciences Elective', 2),</v>
      </c>
      <c r="N19" s="3" t="str">
        <f t="shared" si="4"/>
        <v xml:space="preserve">    @GROUP_BSCP_2023_2024_GECN INT,</v>
      </c>
      <c r="O19" s="3" t="str">
        <f t="shared" si="5"/>
        <v xml:space="preserve">    @GROUP_BSCP_2023_2024_GECN</v>
      </c>
      <c r="P19" s="3">
        <f t="shared" si="6"/>
        <v>38</v>
      </c>
      <c r="Q19" s="3">
        <f t="shared" si="7"/>
        <v>57</v>
      </c>
      <c r="R19" s="3" t="str">
        <f t="shared" si="8"/>
        <v>'GROUP_BSCP_GECN'</v>
      </c>
      <c r="T19" s="3" t="str">
        <f t="shared" si="9"/>
        <v>SELECT @GROUP_BSCP_2023_2024_GECN = RequirementGroupID FROM Bellini.RequirementGroup WHERE MajorID = @MAJOR_BSCP AND CatalogID = @CATALOG_2023_2024 AND GroupCode = 'GROUP_BSCP_GECN';</v>
      </c>
    </row>
    <row r="20" spans="1:20" x14ac:dyDescent="0.3">
      <c r="A20" s="1" t="s">
        <v>1046</v>
      </c>
      <c r="B20" s="3" t="s">
        <v>1180</v>
      </c>
      <c r="C20" s="3">
        <v>28</v>
      </c>
      <c r="F20" s="3" t="s">
        <v>1173</v>
      </c>
      <c r="G20" s="3" t="str">
        <f t="shared" si="10"/>
        <v>2023_2024</v>
      </c>
      <c r="H20" s="3" t="s">
        <v>1179</v>
      </c>
      <c r="I20" s="3" t="str">
        <f t="shared" si="1"/>
        <v>GECS</v>
      </c>
      <c r="J20" s="3">
        <f t="shared" si="2"/>
        <v>2</v>
      </c>
      <c r="L20" s="3" t="str">
        <f t="shared" si="3"/>
        <v xml:space="preserve">    (@MAJOR_BSCP, @CATALOG_2023_2024, 'GROUP_BSCP_GECS', 'BSCP General Education Core Social Sciences', 2),</v>
      </c>
      <c r="N20" s="3" t="str">
        <f t="shared" si="4"/>
        <v xml:space="preserve">    @GROUP_BSCP_2023_2024_GECS INT,</v>
      </c>
      <c r="O20" s="3" t="str">
        <f t="shared" si="5"/>
        <v xml:space="preserve">    @GROUP_BSCP_2023_2024_GECS</v>
      </c>
      <c r="P20" s="3">
        <f t="shared" si="6"/>
        <v>38</v>
      </c>
      <c r="Q20" s="3">
        <f t="shared" si="7"/>
        <v>57</v>
      </c>
      <c r="R20" s="3" t="str">
        <f t="shared" si="8"/>
        <v>'GROUP_BSCP_GECS'</v>
      </c>
      <c r="T20" s="3" t="str">
        <f t="shared" si="9"/>
        <v>SELECT @GROUP_BSCP_2023_2024_GECS = RequirementGroupID FROM Bellini.RequirementGroup WHERE MajorID = @MAJOR_BSCP AND CatalogID = @CATALOG_2023_2024 AND GroupCode = 'GROUP_BSCP_GECS';</v>
      </c>
    </row>
    <row r="21" spans="1:20" x14ac:dyDescent="0.3">
      <c r="A21" s="3" t="s">
        <v>280</v>
      </c>
      <c r="B21" s="3" t="s">
        <v>1184</v>
      </c>
      <c r="C21" s="3">
        <v>1</v>
      </c>
      <c r="F21" s="3" t="s">
        <v>1173</v>
      </c>
      <c r="G21" s="3" t="str">
        <f t="shared" si="10"/>
        <v>2023_2024</v>
      </c>
      <c r="H21" s="3" t="s">
        <v>280</v>
      </c>
      <c r="I21" s="3" t="str">
        <f t="shared" si="1"/>
        <v>CALC_1</v>
      </c>
      <c r="J21" s="3">
        <f t="shared" si="2"/>
        <v>1</v>
      </c>
      <c r="L21" s="3" t="str">
        <f t="shared" si="3"/>
        <v xml:space="preserve">    (@MAJOR_BSCP, @CATALOG_2023_2024, 'GROUP_BSCP_CALC_1', 'BSCP Calculus I', 1),</v>
      </c>
      <c r="N21" s="3" t="str">
        <f t="shared" si="4"/>
        <v xml:space="preserve">    @GROUP_BSCP_2023_2024_CALC_1 INT,</v>
      </c>
      <c r="O21" s="3" t="str">
        <f t="shared" si="5"/>
        <v xml:space="preserve">    @GROUP_BSCP_2023_2024_CALC_1</v>
      </c>
      <c r="P21" s="3">
        <f t="shared" si="6"/>
        <v>38</v>
      </c>
      <c r="Q21" s="3">
        <f t="shared" si="7"/>
        <v>59</v>
      </c>
      <c r="R21" s="3" t="str">
        <f t="shared" si="8"/>
        <v>'GROUP_BSCP_CALC_1'</v>
      </c>
      <c r="T21" s="3" t="str">
        <f t="shared" si="9"/>
        <v>SELECT @GROUP_BSCP_2023_2024_CALC_1 = RequirementGroupID FROM Bellini.RequirementGroup WHERE MajorID = @MAJOR_BSCP AND CatalogID = @CATALOG_2023_2024 AND GroupCode = 'GROUP_BSCP_CALC_1';</v>
      </c>
    </row>
    <row r="22" spans="1:20" x14ac:dyDescent="0.3">
      <c r="A22" s="3" t="s">
        <v>282</v>
      </c>
      <c r="B22" s="3" t="s">
        <v>1185</v>
      </c>
      <c r="C22" s="3">
        <v>1</v>
      </c>
      <c r="F22" s="3" t="s">
        <v>1173</v>
      </c>
      <c r="G22" s="3" t="str">
        <f t="shared" si="10"/>
        <v>2023_2024</v>
      </c>
      <c r="H22" s="3" t="s">
        <v>282</v>
      </c>
      <c r="I22" s="3" t="str">
        <f t="shared" si="1"/>
        <v>CALC_2</v>
      </c>
      <c r="J22" s="3">
        <f t="shared" si="2"/>
        <v>1</v>
      </c>
      <c r="L22" s="3" t="str">
        <f t="shared" si="3"/>
        <v xml:space="preserve">    (@MAJOR_BSCP, @CATALOG_2023_2024, 'GROUP_BSCP_CALC_2', 'BSCP Calculus II', 1),</v>
      </c>
      <c r="N22" s="3" t="str">
        <f t="shared" si="4"/>
        <v xml:space="preserve">    @GROUP_BSCP_2023_2024_CALC_2 INT,</v>
      </c>
      <c r="O22" s="3" t="str">
        <f t="shared" si="5"/>
        <v xml:space="preserve">    @GROUP_BSCP_2023_2024_CALC_2</v>
      </c>
      <c r="P22" s="3">
        <f t="shared" si="6"/>
        <v>38</v>
      </c>
      <c r="Q22" s="3">
        <f t="shared" si="7"/>
        <v>59</v>
      </c>
      <c r="R22" s="3" t="str">
        <f t="shared" si="8"/>
        <v>'GROUP_BSCP_CALC_2'</v>
      </c>
      <c r="T22" s="3" t="str">
        <f t="shared" si="9"/>
        <v>SELECT @GROUP_BSCP_2023_2024_CALC_2 = RequirementGroupID FROM Bellini.RequirementGroup WHERE MajorID = @MAJOR_BSCP AND CatalogID = @CATALOG_2023_2024 AND GroupCode = 'GROUP_BSCP_CALC_2';</v>
      </c>
    </row>
    <row r="23" spans="1:20" x14ac:dyDescent="0.3">
      <c r="A23" s="3" t="s">
        <v>284</v>
      </c>
      <c r="B23" s="3" t="s">
        <v>1186</v>
      </c>
      <c r="C23" s="3">
        <v>1</v>
      </c>
      <c r="F23" s="3" t="s">
        <v>1173</v>
      </c>
      <c r="G23" s="3" t="str">
        <f t="shared" si="10"/>
        <v>2023_2024</v>
      </c>
      <c r="H23" s="3" t="s">
        <v>284</v>
      </c>
      <c r="I23" s="3" t="str">
        <f t="shared" si="1"/>
        <v>CALC_3</v>
      </c>
      <c r="J23" s="3">
        <f t="shared" si="2"/>
        <v>1</v>
      </c>
      <c r="L23" s="3" t="str">
        <f t="shared" si="3"/>
        <v xml:space="preserve">    (@MAJOR_BSCP, @CATALOG_2023_2024, 'GROUP_BSCP_CALC_3', 'BSCP Calculus III', 1),</v>
      </c>
      <c r="N23" s="3" t="str">
        <f t="shared" si="4"/>
        <v xml:space="preserve">    @GROUP_BSCP_2023_2024_CALC_3 INT,</v>
      </c>
      <c r="O23" s="3" t="str">
        <f t="shared" si="5"/>
        <v xml:space="preserve">    @GROUP_BSCP_2023_2024_CALC_3</v>
      </c>
      <c r="P23" s="3">
        <f t="shared" si="6"/>
        <v>38</v>
      </c>
      <c r="Q23" s="3">
        <f t="shared" si="7"/>
        <v>59</v>
      </c>
      <c r="R23" s="3" t="str">
        <f t="shared" si="8"/>
        <v>'GROUP_BSCP_CALC_3'</v>
      </c>
      <c r="T23" s="3" t="str">
        <f t="shared" si="9"/>
        <v>SELECT @GROUP_BSCP_2023_2024_CALC_3 = RequirementGroupID FROM Bellini.RequirementGroup WHERE MajorID = @MAJOR_BSCP AND CatalogID = @CATALOG_2023_2024 AND GroupCode = 'GROUP_BSCP_CALC_3';</v>
      </c>
    </row>
    <row r="24" spans="1:20" x14ac:dyDescent="0.3">
      <c r="A24" s="3" t="s">
        <v>1020</v>
      </c>
      <c r="B24" s="3" t="s">
        <v>1187</v>
      </c>
      <c r="C24" s="3">
        <v>1</v>
      </c>
      <c r="F24" s="3" t="s">
        <v>1173</v>
      </c>
      <c r="G24" s="3" t="str">
        <f t="shared" si="10"/>
        <v>2023_2024</v>
      </c>
      <c r="H24" s="3" t="s">
        <v>290</v>
      </c>
      <c r="I24" s="3" t="str">
        <f t="shared" si="1"/>
        <v>DIFF_EQ</v>
      </c>
      <c r="J24" s="3">
        <f t="shared" si="2"/>
        <v>1</v>
      </c>
      <c r="L24" s="3" t="str">
        <f t="shared" si="3"/>
        <v xml:space="preserve">    (@MAJOR_BSCP, @CATALOG_2023_2024, 'GROUP_BSCP_DIFF_EQ', 'BSCP Differential Equations', 1),</v>
      </c>
      <c r="N24" s="3" t="str">
        <f t="shared" si="4"/>
        <v xml:space="preserve">    @GROUP_BSCP_2023_2024_DIFF_EQ INT,</v>
      </c>
      <c r="O24" s="3" t="str">
        <f t="shared" si="5"/>
        <v xml:space="preserve">    @GROUP_BSCP_2023_2024_DIFF_EQ</v>
      </c>
      <c r="P24" s="3">
        <f t="shared" si="6"/>
        <v>38</v>
      </c>
      <c r="Q24" s="3">
        <f t="shared" si="7"/>
        <v>60</v>
      </c>
      <c r="R24" s="3" t="str">
        <f t="shared" si="8"/>
        <v>'GROUP_BSCP_DIFF_EQ'</v>
      </c>
      <c r="T24" s="3" t="str">
        <f t="shared" si="9"/>
        <v>SELECT @GROUP_BSCP_2023_2024_DIFF_EQ = RequirementGroupID FROM Bellini.RequirementGroup WHERE MajorID = @MAJOR_BSCP AND CatalogID = @CATALOG_2023_2024 AND GroupCode = 'GROUP_BSCP_DIFF_EQ';</v>
      </c>
    </row>
    <row r="25" spans="1:20" x14ac:dyDescent="0.3">
      <c r="A25" s="3" t="s">
        <v>1021</v>
      </c>
      <c r="B25" s="3" t="s">
        <v>1188</v>
      </c>
      <c r="C25" s="3">
        <v>1</v>
      </c>
      <c r="F25" s="3" t="s">
        <v>1173</v>
      </c>
      <c r="G25" s="3" t="str">
        <f t="shared" si="10"/>
        <v>2023_2024</v>
      </c>
      <c r="H25" s="3" t="s">
        <v>1020</v>
      </c>
      <c r="I25" s="3" t="str">
        <f t="shared" si="1"/>
        <v>CHEM_1</v>
      </c>
      <c r="J25" s="3">
        <f t="shared" si="2"/>
        <v>1</v>
      </c>
      <c r="L25" s="3" t="str">
        <f t="shared" si="3"/>
        <v xml:space="preserve">    (@MAJOR_BSCP, @CATALOG_2023_2024, 'GROUP_BSCP_CHEM_1', 'BSCP Chemistry I', 1),</v>
      </c>
      <c r="N25" s="3" t="str">
        <f t="shared" si="4"/>
        <v xml:space="preserve">    @GROUP_BSCP_2023_2024_CHEM_1 INT,</v>
      </c>
      <c r="O25" s="3" t="str">
        <f t="shared" si="5"/>
        <v xml:space="preserve">    @GROUP_BSCP_2023_2024_CHEM_1</v>
      </c>
      <c r="P25" s="3">
        <f t="shared" si="6"/>
        <v>38</v>
      </c>
      <c r="Q25" s="3">
        <f t="shared" si="7"/>
        <v>59</v>
      </c>
      <c r="R25" s="3" t="str">
        <f t="shared" si="8"/>
        <v>'GROUP_BSCP_CHEM_1'</v>
      </c>
      <c r="T25" s="3" t="str">
        <f t="shared" si="9"/>
        <v>SELECT @GROUP_BSCP_2023_2024_CHEM_1 = RequirementGroupID FROM Bellini.RequirementGroup WHERE MajorID = @MAJOR_BSCP AND CatalogID = @CATALOG_2023_2024 AND GroupCode = 'GROUP_BSCP_CHEM_1';</v>
      </c>
    </row>
    <row r="26" spans="1:20" x14ac:dyDescent="0.3">
      <c r="A26" s="3" t="s">
        <v>290</v>
      </c>
      <c r="B26" s="3" t="s">
        <v>1189</v>
      </c>
      <c r="C26" s="3">
        <v>1</v>
      </c>
      <c r="F26" s="3" t="s">
        <v>1173</v>
      </c>
      <c r="G26" s="3" t="str">
        <f t="shared" si="10"/>
        <v>2023_2024</v>
      </c>
      <c r="H26" s="3" t="s">
        <v>1021</v>
      </c>
      <c r="I26" s="3" t="str">
        <f t="shared" si="1"/>
        <v>CHEM_1_LAB</v>
      </c>
      <c r="J26" s="3">
        <f t="shared" si="2"/>
        <v>1</v>
      </c>
      <c r="L26" s="3" t="str">
        <f t="shared" si="3"/>
        <v xml:space="preserve">    (@MAJOR_BSCP, @CATALOG_2023_2024, 'GROUP_BSCP_CHEM_1_LAB', 'BSCP Chemistry I Lab', 1),</v>
      </c>
      <c r="N26" s="3" t="str">
        <f t="shared" si="4"/>
        <v xml:space="preserve">    @GROUP_BSCP_2023_2024_CHEM_1_LAB INT,</v>
      </c>
      <c r="O26" s="3" t="str">
        <f t="shared" si="5"/>
        <v xml:space="preserve">    @GROUP_BSCP_2023_2024_CHEM_1_LAB</v>
      </c>
      <c r="P26" s="3">
        <f t="shared" si="6"/>
        <v>38</v>
      </c>
      <c r="Q26" s="3">
        <f t="shared" si="7"/>
        <v>63</v>
      </c>
      <c r="R26" s="3" t="str">
        <f t="shared" si="8"/>
        <v>'GROUP_BSCP_CHEM_1_LAB'</v>
      </c>
      <c r="T26" s="3" t="str">
        <f t="shared" si="9"/>
        <v>SELECT @GROUP_BSCP_2023_2024_CHEM_1_LAB = RequirementGroupID FROM Bellini.RequirementGroup WHERE MajorID = @MAJOR_BSCP AND CatalogID = @CATALOG_2023_2024 AND GroupCode = 'GROUP_BSCP_CHEM_1_LAB';</v>
      </c>
    </row>
    <row r="27" spans="1:20" x14ac:dyDescent="0.3">
      <c r="A27" s="3" t="s">
        <v>1190</v>
      </c>
      <c r="B27" s="3" t="s">
        <v>1191</v>
      </c>
      <c r="C27" s="3">
        <v>2</v>
      </c>
      <c r="F27" s="3" t="s">
        <v>1173</v>
      </c>
      <c r="G27" s="3" t="str">
        <f t="shared" si="10"/>
        <v>2023_2024</v>
      </c>
      <c r="H27" s="3" t="s">
        <v>1029</v>
      </c>
      <c r="I27" s="3" t="str">
        <f t="shared" si="1"/>
        <v>GENERAL</v>
      </c>
      <c r="J27" s="3">
        <f t="shared" si="2"/>
        <v>31</v>
      </c>
      <c r="L27" s="3" t="str">
        <f t="shared" si="3"/>
        <v xml:space="preserve">    (@MAJOR_BSCP, @CATALOG_2023_2024, 'GROUP_BSCP_GENERAL', 'BSCP BSCP General', 31),</v>
      </c>
      <c r="N27" s="3" t="str">
        <f t="shared" si="4"/>
        <v xml:space="preserve">    @GROUP_BSCP_2023_2024_GENERAL INT,</v>
      </c>
      <c r="O27" s="3" t="str">
        <f t="shared" si="5"/>
        <v xml:space="preserve">    @GROUP_BSCP_2023_2024_GENERAL</v>
      </c>
      <c r="P27" s="3">
        <f t="shared" si="6"/>
        <v>38</v>
      </c>
      <c r="Q27" s="3">
        <f t="shared" si="7"/>
        <v>60</v>
      </c>
      <c r="R27" s="3" t="str">
        <f t="shared" si="8"/>
        <v>'GROUP_BSCP_GENERAL'</v>
      </c>
      <c r="T27" s="3" t="str">
        <f t="shared" si="9"/>
        <v>SELECT @GROUP_BSCP_2023_2024_GENERAL = RequirementGroupID FROM Bellini.RequirementGroup WHERE MajorID = @MAJOR_BSCP AND CatalogID = @CATALOG_2023_2024 AND GroupCode = 'GROUP_BSCP_GENERAL';</v>
      </c>
    </row>
    <row r="28" spans="1:20" x14ac:dyDescent="0.3">
      <c r="A28" s="3" t="s">
        <v>1174</v>
      </c>
      <c r="B28" s="3" t="s">
        <v>1192</v>
      </c>
      <c r="C28" s="3">
        <v>2</v>
      </c>
      <c r="F28" s="3" t="s">
        <v>1173</v>
      </c>
      <c r="G28" s="3" t="str">
        <f t="shared" si="10"/>
        <v>2023_2024</v>
      </c>
      <c r="H28" s="1" t="s">
        <v>1038</v>
      </c>
      <c r="I28" s="3" t="str">
        <f t="shared" si="1"/>
        <v>HARDWARE_ELECTIVES</v>
      </c>
      <c r="J28" s="3">
        <f t="shared" si="2"/>
        <v>2</v>
      </c>
      <c r="L28" s="3" t="str">
        <f t="shared" si="3"/>
        <v xml:space="preserve">    (@MAJOR_BSCP, @CATALOG_2023_2024, 'GROUP_BSCP_HARDWARE_ELECTIVES', 'BSCP BSCP 2023 Hardware Electives', 2),</v>
      </c>
      <c r="N28" s="3" t="str">
        <f t="shared" si="4"/>
        <v xml:space="preserve">    @GROUP_BSCP_2023_2024_HARDWARE_ELECTIVES INT,</v>
      </c>
      <c r="O28" s="3" t="str">
        <f t="shared" si="5"/>
        <v xml:space="preserve">    @GROUP_BSCP_2023_2024_HARDWARE_ELECTIVES</v>
      </c>
      <c r="P28" s="3">
        <f t="shared" si="6"/>
        <v>38</v>
      </c>
      <c r="Q28" s="3">
        <f t="shared" si="7"/>
        <v>71</v>
      </c>
      <c r="R28" s="3" t="str">
        <f t="shared" si="8"/>
        <v>'GROUP_BSCP_HARDWARE_ELECTIVES'</v>
      </c>
      <c r="T28" s="3" t="str">
        <f t="shared" si="9"/>
        <v>SELECT @GROUP_BSCP_2023_2024_HARDWARE_ELECTIVES = RequirementGroupID FROM Bellini.RequirementGroup WHERE MajorID = @MAJOR_BSCP AND CatalogID = @CATALOG_2023_2024 AND GroupCode = 'GROUP_BSCP_HARDWARE_ELECTIVES';</v>
      </c>
    </row>
    <row r="29" spans="1:20" x14ac:dyDescent="0.3">
      <c r="A29" s="3" t="s">
        <v>1177</v>
      </c>
      <c r="B29" s="3" t="s">
        <v>1193</v>
      </c>
      <c r="C29" s="3">
        <v>2</v>
      </c>
      <c r="F29" s="3" t="s">
        <v>1173</v>
      </c>
      <c r="G29" s="3" t="str">
        <f t="shared" si="10"/>
        <v>2023_2024</v>
      </c>
      <c r="H29" s="1" t="s">
        <v>1039</v>
      </c>
      <c r="I29" s="3" t="str">
        <f t="shared" si="1"/>
        <v>ELECTIVES</v>
      </c>
      <c r="J29" s="3">
        <f t="shared" si="2"/>
        <v>2</v>
      </c>
      <c r="L29" s="3" t="str">
        <f t="shared" si="3"/>
        <v xml:space="preserve">    (@MAJOR_BSCP, @CATALOG_2023_2024, 'GROUP_BSCP_ELECTIVES', 'BSCP BSCP 2023 Electives', 2),</v>
      </c>
      <c r="N29" s="3" t="str">
        <f t="shared" si="4"/>
        <v xml:space="preserve">    @GROUP_BSCP_2023_2024_ELECTIVES INT,</v>
      </c>
      <c r="O29" s="3" t="str">
        <f t="shared" si="5"/>
        <v xml:space="preserve">    @GROUP_BSCP_2023_2024_ELECTIVES</v>
      </c>
      <c r="P29" s="3">
        <f t="shared" si="6"/>
        <v>38</v>
      </c>
      <c r="Q29" s="3">
        <f t="shared" si="7"/>
        <v>62</v>
      </c>
      <c r="R29" s="3" t="str">
        <f t="shared" si="8"/>
        <v>'GROUP_BSCP_ELECTIVES'</v>
      </c>
      <c r="T29" s="3" t="str">
        <f t="shared" si="9"/>
        <v>SELECT @GROUP_BSCP_2023_2024_ELECTIVES = RequirementGroupID FROM Bellini.RequirementGroup WHERE MajorID = @MAJOR_BSCP AND CatalogID = @CATALOG_2023_2024 AND GroupCode = 'GROUP_BSCP_ELECTIVES';</v>
      </c>
    </row>
    <row r="30" spans="1:20" x14ac:dyDescent="0.3">
      <c r="A30" s="3" t="s">
        <v>1178</v>
      </c>
      <c r="B30" s="3" t="s">
        <v>1194</v>
      </c>
      <c r="C30" s="3">
        <v>2</v>
      </c>
      <c r="H30" s="1"/>
    </row>
    <row r="31" spans="1:20" x14ac:dyDescent="0.3">
      <c r="A31" s="3" t="s">
        <v>1179</v>
      </c>
      <c r="B31" s="3" t="s">
        <v>1195</v>
      </c>
      <c r="C31" s="3">
        <v>2</v>
      </c>
      <c r="F31" s="3" t="s">
        <v>1196</v>
      </c>
      <c r="G31" s="3" t="str">
        <f>"2022_2023"</f>
        <v>2022_2023</v>
      </c>
      <c r="H31" s="3" t="s">
        <v>1174</v>
      </c>
      <c r="I31" s="3" t="str">
        <f t="shared" si="1"/>
        <v>GECH</v>
      </c>
      <c r="J31" s="3">
        <f t="shared" si="2"/>
        <v>2</v>
      </c>
      <c r="L31" s="3" t="str">
        <f t="shared" si="3"/>
        <v xml:space="preserve">    (@MAJOR_BSCS, @CATALOG_2022_2023, 'GROUP_BSCS_GECH', 'BSCS General Education Core Humanities', 2),</v>
      </c>
      <c r="N31" s="3" t="str">
        <f t="shared" si="4"/>
        <v xml:space="preserve">    @GROUP_BSCS_2022_2023_GECH INT,</v>
      </c>
      <c r="O31" s="3" t="str">
        <f t="shared" si="5"/>
        <v xml:space="preserve">    @GROUP_BSCS_2022_2023_GECH</v>
      </c>
      <c r="P31" s="3">
        <f t="shared" si="6"/>
        <v>38</v>
      </c>
      <c r="Q31" s="3">
        <f t="shared" si="7"/>
        <v>57</v>
      </c>
      <c r="R31" s="3" t="str">
        <f t="shared" si="8"/>
        <v>'GROUP_BSCS_GECH'</v>
      </c>
      <c r="T31" s="3" t="str">
        <f t="shared" si="9"/>
        <v>SELECT @GROUP_BSCS_2022_2023_GECH = RequirementGroupID FROM Bellini.RequirementGroup WHERE MajorID = @MAJOR_BSCS AND CatalogID = @CATALOG_2022_2023 AND GroupCode = 'GROUP_BSCS_GECH';</v>
      </c>
    </row>
    <row r="32" spans="1:20" x14ac:dyDescent="0.3">
      <c r="F32" s="3" t="s">
        <v>1196</v>
      </c>
      <c r="G32" s="3" t="str">
        <f t="shared" ref="G32:G39" si="11">"2022_2023"</f>
        <v>2022_2023</v>
      </c>
      <c r="H32" s="3" t="s">
        <v>1177</v>
      </c>
      <c r="I32" s="3" t="str">
        <f t="shared" si="1"/>
        <v>GECM</v>
      </c>
      <c r="J32" s="3">
        <f t="shared" si="2"/>
        <v>2</v>
      </c>
      <c r="L32" s="3" t="str">
        <f t="shared" si="3"/>
        <v xml:space="preserve">    (@MAJOR_BSCS, @CATALOG_2022_2023, 'GROUP_BSCS_GECM', 'BSCS General Education Core Mathematics', 2),</v>
      </c>
      <c r="N32" s="3" t="str">
        <f t="shared" si="4"/>
        <v xml:space="preserve">    @GROUP_BSCS_2022_2023_GECM INT,</v>
      </c>
      <c r="O32" s="3" t="str">
        <f t="shared" si="5"/>
        <v xml:space="preserve">    @GROUP_BSCS_2022_2023_GECM</v>
      </c>
      <c r="P32" s="3">
        <f t="shared" si="6"/>
        <v>38</v>
      </c>
      <c r="Q32" s="3">
        <f t="shared" si="7"/>
        <v>57</v>
      </c>
      <c r="R32" s="3" t="str">
        <f t="shared" si="8"/>
        <v>'GROUP_BSCS_GECM'</v>
      </c>
      <c r="T32" s="3" t="str">
        <f t="shared" si="9"/>
        <v>SELECT @GROUP_BSCS_2022_2023_GECM = RequirementGroupID FROM Bellini.RequirementGroup WHERE MajorID = @MAJOR_BSCS AND CatalogID = @CATALOG_2022_2023 AND GroupCode = 'GROUP_BSCS_GECM';</v>
      </c>
    </row>
    <row r="33" spans="6:20" x14ac:dyDescent="0.3">
      <c r="F33" s="3" t="s">
        <v>1196</v>
      </c>
      <c r="G33" s="3" t="str">
        <f t="shared" si="11"/>
        <v>2022_2023</v>
      </c>
      <c r="H33" s="3" t="s">
        <v>1178</v>
      </c>
      <c r="I33" s="3" t="str">
        <f t="shared" si="1"/>
        <v>GECN</v>
      </c>
      <c r="J33" s="3">
        <f t="shared" si="2"/>
        <v>2</v>
      </c>
      <c r="L33" s="3" t="str">
        <f t="shared" si="3"/>
        <v xml:space="preserve">    (@MAJOR_BSCS, @CATALOG_2022_2023, 'GROUP_BSCS_GECN', 'BSCS General Education Core Natural Sciences Elective', 2),</v>
      </c>
      <c r="N33" s="3" t="str">
        <f t="shared" si="4"/>
        <v xml:space="preserve">    @GROUP_BSCS_2022_2023_GECN INT,</v>
      </c>
      <c r="O33" s="3" t="str">
        <f t="shared" si="5"/>
        <v xml:space="preserve">    @GROUP_BSCS_2022_2023_GECN</v>
      </c>
      <c r="P33" s="3">
        <f t="shared" si="6"/>
        <v>38</v>
      </c>
      <c r="Q33" s="3">
        <f t="shared" si="7"/>
        <v>57</v>
      </c>
      <c r="R33" s="3" t="str">
        <f t="shared" si="8"/>
        <v>'GROUP_BSCS_GECN'</v>
      </c>
      <c r="T33" s="3" t="str">
        <f t="shared" si="9"/>
        <v>SELECT @GROUP_BSCS_2022_2023_GECN = RequirementGroupID FROM Bellini.RequirementGroup WHERE MajorID = @MAJOR_BSCS AND CatalogID = @CATALOG_2022_2023 AND GroupCode = 'GROUP_BSCS_GECN';</v>
      </c>
    </row>
    <row r="34" spans="6:20" x14ac:dyDescent="0.3">
      <c r="F34" s="3" t="s">
        <v>1196</v>
      </c>
      <c r="G34" s="3" t="str">
        <f t="shared" si="11"/>
        <v>2022_2023</v>
      </c>
      <c r="H34" s="3" t="s">
        <v>1179</v>
      </c>
      <c r="I34" s="3" t="str">
        <f t="shared" si="1"/>
        <v>GECS</v>
      </c>
      <c r="J34" s="3">
        <f t="shared" si="2"/>
        <v>2</v>
      </c>
      <c r="L34" s="3" t="str">
        <f t="shared" si="3"/>
        <v xml:space="preserve">    (@MAJOR_BSCS, @CATALOG_2022_2023, 'GROUP_BSCS_GECS', 'BSCS General Education Core Social Sciences', 2),</v>
      </c>
      <c r="N34" s="3" t="str">
        <f t="shared" si="4"/>
        <v xml:space="preserve">    @GROUP_BSCS_2022_2023_GECS INT,</v>
      </c>
      <c r="O34" s="3" t="str">
        <f t="shared" si="5"/>
        <v xml:space="preserve">    @GROUP_BSCS_2022_2023_GECS</v>
      </c>
      <c r="P34" s="3">
        <f t="shared" si="6"/>
        <v>38</v>
      </c>
      <c r="Q34" s="3">
        <f t="shared" si="7"/>
        <v>57</v>
      </c>
      <c r="R34" s="3" t="str">
        <f t="shared" si="8"/>
        <v>'GROUP_BSCS_GECS'</v>
      </c>
      <c r="T34" s="3" t="str">
        <f t="shared" si="9"/>
        <v>SELECT @GROUP_BSCS_2022_2023_GECS = RequirementGroupID FROM Bellini.RequirementGroup WHERE MajorID = @MAJOR_BSCS AND CatalogID = @CATALOG_2022_2023 AND GroupCode = 'GROUP_BSCS_GECS';</v>
      </c>
    </row>
    <row r="35" spans="6:20" x14ac:dyDescent="0.3">
      <c r="F35" s="3" t="s">
        <v>1196</v>
      </c>
      <c r="G35" s="3" t="str">
        <f t="shared" si="11"/>
        <v>2022_2023</v>
      </c>
      <c r="H35" s="3" t="s">
        <v>280</v>
      </c>
      <c r="I35" s="3" t="str">
        <f t="shared" si="1"/>
        <v>CALC_1</v>
      </c>
      <c r="J35" s="3">
        <f t="shared" si="2"/>
        <v>1</v>
      </c>
      <c r="L35" s="3" t="str">
        <f t="shared" si="3"/>
        <v xml:space="preserve">    (@MAJOR_BSCS, @CATALOG_2022_2023, 'GROUP_BSCS_CALC_1', 'BSCS Calculus I', 1),</v>
      </c>
      <c r="N35" s="3" t="str">
        <f t="shared" si="4"/>
        <v xml:space="preserve">    @GROUP_BSCS_2022_2023_CALC_1 INT,</v>
      </c>
      <c r="O35" s="3" t="str">
        <f t="shared" si="5"/>
        <v xml:space="preserve">    @GROUP_BSCS_2022_2023_CALC_1</v>
      </c>
      <c r="P35" s="3">
        <f t="shared" si="6"/>
        <v>38</v>
      </c>
      <c r="Q35" s="3">
        <f t="shared" si="7"/>
        <v>59</v>
      </c>
      <c r="R35" s="3" t="str">
        <f t="shared" si="8"/>
        <v>'GROUP_BSCS_CALC_1'</v>
      </c>
      <c r="T35" s="3" t="str">
        <f t="shared" si="9"/>
        <v>SELECT @GROUP_BSCS_2022_2023_CALC_1 = RequirementGroupID FROM Bellini.RequirementGroup WHERE MajorID = @MAJOR_BSCS AND CatalogID = @CATALOG_2022_2023 AND GroupCode = 'GROUP_BSCS_CALC_1';</v>
      </c>
    </row>
    <row r="36" spans="6:20" x14ac:dyDescent="0.3">
      <c r="F36" s="3" t="s">
        <v>1196</v>
      </c>
      <c r="G36" s="3" t="str">
        <f t="shared" si="11"/>
        <v>2022_2023</v>
      </c>
      <c r="H36" s="3" t="s">
        <v>282</v>
      </c>
      <c r="I36" s="3" t="str">
        <f t="shared" si="1"/>
        <v>CALC_2</v>
      </c>
      <c r="J36" s="3">
        <f t="shared" si="2"/>
        <v>1</v>
      </c>
      <c r="L36" s="3" t="str">
        <f t="shared" si="3"/>
        <v xml:space="preserve">    (@MAJOR_BSCS, @CATALOG_2022_2023, 'GROUP_BSCS_CALC_2', 'BSCS Calculus II', 1),</v>
      </c>
      <c r="N36" s="3" t="str">
        <f t="shared" si="4"/>
        <v xml:space="preserve">    @GROUP_BSCS_2022_2023_CALC_2 INT,</v>
      </c>
      <c r="O36" s="3" t="str">
        <f t="shared" si="5"/>
        <v xml:space="preserve">    @GROUP_BSCS_2022_2023_CALC_2</v>
      </c>
      <c r="P36" s="3">
        <f t="shared" si="6"/>
        <v>38</v>
      </c>
      <c r="Q36" s="3">
        <f t="shared" si="7"/>
        <v>59</v>
      </c>
      <c r="R36" s="3" t="str">
        <f t="shared" si="8"/>
        <v>'GROUP_BSCS_CALC_2'</v>
      </c>
      <c r="T36" s="3" t="str">
        <f t="shared" si="9"/>
        <v>SELECT @GROUP_BSCS_2022_2023_CALC_2 = RequirementGroupID FROM Bellini.RequirementGroup WHERE MajorID = @MAJOR_BSCS AND CatalogID = @CATALOG_2022_2023 AND GroupCode = 'GROUP_BSCS_CALC_2';</v>
      </c>
    </row>
    <row r="37" spans="6:20" x14ac:dyDescent="0.3">
      <c r="F37" s="3" t="s">
        <v>1196</v>
      </c>
      <c r="G37" s="3" t="str">
        <f t="shared" si="11"/>
        <v>2022_2023</v>
      </c>
      <c r="H37" s="3" t="s">
        <v>284</v>
      </c>
      <c r="I37" s="3" t="str">
        <f t="shared" si="1"/>
        <v>CALC_3</v>
      </c>
      <c r="J37" s="3">
        <f t="shared" si="2"/>
        <v>1</v>
      </c>
      <c r="L37" s="3" t="str">
        <f t="shared" si="3"/>
        <v xml:space="preserve">    (@MAJOR_BSCS, @CATALOG_2022_2023, 'GROUP_BSCS_CALC_3', 'BSCS Calculus III', 1),</v>
      </c>
      <c r="N37" s="3" t="str">
        <f t="shared" si="4"/>
        <v xml:space="preserve">    @GROUP_BSCS_2022_2023_CALC_3 INT,</v>
      </c>
      <c r="O37" s="3" t="str">
        <f t="shared" si="5"/>
        <v xml:space="preserve">    @GROUP_BSCS_2022_2023_CALC_3</v>
      </c>
      <c r="P37" s="3">
        <f t="shared" si="6"/>
        <v>38</v>
      </c>
      <c r="Q37" s="3">
        <f t="shared" si="7"/>
        <v>59</v>
      </c>
      <c r="R37" s="3" t="str">
        <f t="shared" si="8"/>
        <v>'GROUP_BSCS_CALC_3'</v>
      </c>
      <c r="T37" s="3" t="str">
        <f t="shared" si="9"/>
        <v>SELECT @GROUP_BSCS_2022_2023_CALC_3 = RequirementGroupID FROM Bellini.RequirementGroup WHERE MajorID = @MAJOR_BSCS AND CatalogID = @CATALOG_2022_2023 AND GroupCode = 'GROUP_BSCS_CALC_3';</v>
      </c>
    </row>
    <row r="38" spans="6:20" x14ac:dyDescent="0.3">
      <c r="F38" s="3" t="s">
        <v>1196</v>
      </c>
      <c r="G38" s="3" t="str">
        <f t="shared" si="11"/>
        <v>2022_2023</v>
      </c>
      <c r="H38" s="3" t="s">
        <v>1049</v>
      </c>
      <c r="I38" s="3" t="str">
        <f t="shared" si="1"/>
        <v>GENERAL</v>
      </c>
      <c r="J38" s="3">
        <f t="shared" si="2"/>
        <v>25</v>
      </c>
      <c r="L38" s="3" t="str">
        <f t="shared" si="3"/>
        <v xml:space="preserve">    (@MAJOR_BSCS, @CATALOG_2022_2023, 'GROUP_BSCS_GENERAL', 'BSCS BSCS General', 25),</v>
      </c>
      <c r="N38" s="3" t="str">
        <f t="shared" si="4"/>
        <v xml:space="preserve">    @GROUP_BSCS_2022_2023_GENERAL INT,</v>
      </c>
      <c r="O38" s="3" t="str">
        <f t="shared" si="5"/>
        <v xml:space="preserve">    @GROUP_BSCS_2022_2023_GENERAL</v>
      </c>
      <c r="P38" s="3">
        <f t="shared" si="6"/>
        <v>38</v>
      </c>
      <c r="Q38" s="3">
        <f t="shared" si="7"/>
        <v>60</v>
      </c>
      <c r="R38" s="3" t="str">
        <f t="shared" si="8"/>
        <v>'GROUP_BSCS_GENERAL'</v>
      </c>
      <c r="T38" s="3" t="str">
        <f t="shared" si="9"/>
        <v>SELECT @GROUP_BSCS_2022_2023_GENERAL = RequirementGroupID FROM Bellini.RequirementGroup WHERE MajorID = @MAJOR_BSCS AND CatalogID = @CATALOG_2022_2023 AND GroupCode = 'GROUP_BSCS_GENERAL';</v>
      </c>
    </row>
    <row r="39" spans="6:20" x14ac:dyDescent="0.3">
      <c r="F39" s="3" t="s">
        <v>1196</v>
      </c>
      <c r="G39" s="3" t="str">
        <f t="shared" si="11"/>
        <v>2022_2023</v>
      </c>
      <c r="H39" s="1" t="s">
        <v>1033</v>
      </c>
      <c r="I39" s="3" t="str">
        <f t="shared" si="1"/>
        <v>ELECTIVES</v>
      </c>
      <c r="J39" s="3">
        <f t="shared" si="2"/>
        <v>7</v>
      </c>
      <c r="L39" s="3" t="str">
        <f t="shared" si="3"/>
        <v xml:space="preserve">    (@MAJOR_BSCS, @CATALOG_2022_2023, 'GROUP_BSCS_ELECTIVES', 'BSCS BSCS 2022 Electives', 7),</v>
      </c>
      <c r="N39" s="3" t="str">
        <f t="shared" si="4"/>
        <v xml:space="preserve">    @GROUP_BSCS_2022_2023_ELECTIVES INT,</v>
      </c>
      <c r="O39" s="3" t="str">
        <f t="shared" si="5"/>
        <v xml:space="preserve">    @GROUP_BSCS_2022_2023_ELECTIVES</v>
      </c>
      <c r="P39" s="3">
        <f t="shared" si="6"/>
        <v>38</v>
      </c>
      <c r="Q39" s="3">
        <f t="shared" si="7"/>
        <v>62</v>
      </c>
      <c r="R39" s="3" t="str">
        <f t="shared" si="8"/>
        <v>'GROUP_BSCS_ELECTIVES'</v>
      </c>
      <c r="T39" s="3" t="str">
        <f t="shared" si="9"/>
        <v>SELECT @GROUP_BSCS_2022_2023_ELECTIVES = RequirementGroupID FROM Bellini.RequirementGroup WHERE MajorID = @MAJOR_BSCS AND CatalogID = @CATALOG_2022_2023 AND GroupCode = 'GROUP_BSCS_ELECTIVES';</v>
      </c>
    </row>
    <row r="41" spans="6:20" x14ac:dyDescent="0.3">
      <c r="F41" s="3" t="s">
        <v>1196</v>
      </c>
      <c r="G41" s="3" t="str">
        <f>"2023_2024"</f>
        <v>2023_2024</v>
      </c>
      <c r="H41" s="3" t="s">
        <v>1174</v>
      </c>
      <c r="I41" s="3" t="str">
        <f t="shared" si="1"/>
        <v>GECH</v>
      </c>
      <c r="J41" s="3">
        <f t="shared" si="2"/>
        <v>2</v>
      </c>
      <c r="L41" s="3" t="str">
        <f t="shared" si="3"/>
        <v xml:space="preserve">    (@MAJOR_BSCS, @CATALOG_2023_2024, 'GROUP_BSCS_GECH', 'BSCS General Education Core Humanities', 2),</v>
      </c>
      <c r="N41" s="3" t="str">
        <f t="shared" si="4"/>
        <v xml:space="preserve">    @GROUP_BSCS_2023_2024_GECH INT,</v>
      </c>
      <c r="O41" s="3" t="str">
        <f t="shared" si="5"/>
        <v xml:space="preserve">    @GROUP_BSCS_2023_2024_GECH</v>
      </c>
      <c r="P41" s="3">
        <f t="shared" si="6"/>
        <v>38</v>
      </c>
      <c r="Q41" s="3">
        <f t="shared" si="7"/>
        <v>57</v>
      </c>
      <c r="R41" s="3" t="str">
        <f t="shared" si="8"/>
        <v>'GROUP_BSCS_GECH'</v>
      </c>
      <c r="T41" s="3" t="str">
        <f t="shared" si="9"/>
        <v>SELECT @GROUP_BSCS_2023_2024_GECH = RequirementGroupID FROM Bellini.RequirementGroup WHERE MajorID = @MAJOR_BSCS AND CatalogID = @CATALOG_2023_2024 AND GroupCode = 'GROUP_BSCS_GECH';</v>
      </c>
    </row>
    <row r="42" spans="6:20" x14ac:dyDescent="0.3">
      <c r="F42" s="3" t="s">
        <v>1196</v>
      </c>
      <c r="G42" s="3" t="str">
        <f t="shared" ref="G42:G51" si="12">"2023_2024"</f>
        <v>2023_2024</v>
      </c>
      <c r="H42" s="3" t="s">
        <v>1177</v>
      </c>
      <c r="I42" s="3" t="str">
        <f t="shared" si="1"/>
        <v>GECM</v>
      </c>
      <c r="J42" s="3">
        <f t="shared" si="2"/>
        <v>2</v>
      </c>
      <c r="L42" s="3" t="str">
        <f t="shared" si="3"/>
        <v xml:space="preserve">    (@MAJOR_BSCS, @CATALOG_2023_2024, 'GROUP_BSCS_GECM', 'BSCS General Education Core Mathematics', 2),</v>
      </c>
      <c r="N42" s="3" t="str">
        <f t="shared" si="4"/>
        <v xml:space="preserve">    @GROUP_BSCS_2023_2024_GECM INT,</v>
      </c>
      <c r="O42" s="3" t="str">
        <f t="shared" si="5"/>
        <v xml:space="preserve">    @GROUP_BSCS_2023_2024_GECM</v>
      </c>
      <c r="P42" s="3">
        <f t="shared" si="6"/>
        <v>38</v>
      </c>
      <c r="Q42" s="3">
        <f t="shared" si="7"/>
        <v>57</v>
      </c>
      <c r="R42" s="3" t="str">
        <f t="shared" si="8"/>
        <v>'GROUP_BSCS_GECM'</v>
      </c>
      <c r="T42" s="3" t="str">
        <f t="shared" si="9"/>
        <v>SELECT @GROUP_BSCS_2023_2024_GECM = RequirementGroupID FROM Bellini.RequirementGroup WHERE MajorID = @MAJOR_BSCS AND CatalogID = @CATALOG_2023_2024 AND GroupCode = 'GROUP_BSCS_GECM';</v>
      </c>
    </row>
    <row r="43" spans="6:20" x14ac:dyDescent="0.3">
      <c r="F43" s="3" t="s">
        <v>1196</v>
      </c>
      <c r="G43" s="3" t="str">
        <f t="shared" si="12"/>
        <v>2023_2024</v>
      </c>
      <c r="H43" s="3" t="s">
        <v>1178</v>
      </c>
      <c r="I43" s="3" t="str">
        <f t="shared" si="1"/>
        <v>GECN</v>
      </c>
      <c r="J43" s="3">
        <f t="shared" si="2"/>
        <v>2</v>
      </c>
      <c r="L43" s="3" t="str">
        <f t="shared" si="3"/>
        <v xml:space="preserve">    (@MAJOR_BSCS, @CATALOG_2023_2024, 'GROUP_BSCS_GECN', 'BSCS General Education Core Natural Sciences Elective', 2),</v>
      </c>
      <c r="N43" s="3" t="str">
        <f t="shared" si="4"/>
        <v xml:space="preserve">    @GROUP_BSCS_2023_2024_GECN INT,</v>
      </c>
      <c r="O43" s="3" t="str">
        <f t="shared" si="5"/>
        <v xml:space="preserve">    @GROUP_BSCS_2023_2024_GECN</v>
      </c>
      <c r="P43" s="3">
        <f t="shared" si="6"/>
        <v>38</v>
      </c>
      <c r="Q43" s="3">
        <f t="shared" si="7"/>
        <v>57</v>
      </c>
      <c r="R43" s="3" t="str">
        <f t="shared" si="8"/>
        <v>'GROUP_BSCS_GECN'</v>
      </c>
      <c r="T43" s="3" t="str">
        <f t="shared" si="9"/>
        <v>SELECT @GROUP_BSCS_2023_2024_GECN = RequirementGroupID FROM Bellini.RequirementGroup WHERE MajorID = @MAJOR_BSCS AND CatalogID = @CATALOG_2023_2024 AND GroupCode = 'GROUP_BSCS_GECN';</v>
      </c>
    </row>
    <row r="44" spans="6:20" x14ac:dyDescent="0.3">
      <c r="F44" s="3" t="s">
        <v>1196</v>
      </c>
      <c r="G44" s="3" t="str">
        <f t="shared" si="12"/>
        <v>2023_2024</v>
      </c>
      <c r="H44" s="3" t="s">
        <v>1179</v>
      </c>
      <c r="I44" s="3" t="str">
        <f t="shared" si="1"/>
        <v>GECS</v>
      </c>
      <c r="J44" s="3">
        <f t="shared" si="2"/>
        <v>2</v>
      </c>
      <c r="L44" s="3" t="str">
        <f t="shared" si="3"/>
        <v xml:space="preserve">    (@MAJOR_BSCS, @CATALOG_2023_2024, 'GROUP_BSCS_GECS', 'BSCS General Education Core Social Sciences', 2),</v>
      </c>
      <c r="N44" s="3" t="str">
        <f t="shared" si="4"/>
        <v xml:space="preserve">    @GROUP_BSCS_2023_2024_GECS INT,</v>
      </c>
      <c r="O44" s="3" t="str">
        <f t="shared" si="5"/>
        <v xml:space="preserve">    @GROUP_BSCS_2023_2024_GECS</v>
      </c>
      <c r="P44" s="3">
        <f t="shared" si="6"/>
        <v>38</v>
      </c>
      <c r="Q44" s="3">
        <f t="shared" si="7"/>
        <v>57</v>
      </c>
      <c r="R44" s="3" t="str">
        <f t="shared" si="8"/>
        <v>'GROUP_BSCS_GECS'</v>
      </c>
      <c r="T44" s="3" t="str">
        <f t="shared" si="9"/>
        <v>SELECT @GROUP_BSCS_2023_2024_GECS = RequirementGroupID FROM Bellini.RequirementGroup WHERE MajorID = @MAJOR_BSCS AND CatalogID = @CATALOG_2023_2024 AND GroupCode = 'GROUP_BSCS_GECS';</v>
      </c>
    </row>
    <row r="45" spans="6:20" x14ac:dyDescent="0.3">
      <c r="F45" s="3" t="s">
        <v>1196</v>
      </c>
      <c r="G45" s="3" t="str">
        <f t="shared" si="12"/>
        <v>2023_2024</v>
      </c>
      <c r="H45" s="3" t="s">
        <v>280</v>
      </c>
      <c r="I45" s="3" t="str">
        <f t="shared" si="1"/>
        <v>CALC_1</v>
      </c>
      <c r="J45" s="3">
        <f t="shared" si="2"/>
        <v>1</v>
      </c>
      <c r="L45" s="3" t="str">
        <f t="shared" si="3"/>
        <v xml:space="preserve">    (@MAJOR_BSCS, @CATALOG_2023_2024, 'GROUP_BSCS_CALC_1', 'BSCS Calculus I', 1),</v>
      </c>
      <c r="N45" s="3" t="str">
        <f t="shared" si="4"/>
        <v xml:space="preserve">    @GROUP_BSCS_2023_2024_CALC_1 INT,</v>
      </c>
      <c r="O45" s="3" t="str">
        <f t="shared" si="5"/>
        <v xml:space="preserve">    @GROUP_BSCS_2023_2024_CALC_1</v>
      </c>
      <c r="P45" s="3">
        <f t="shared" si="6"/>
        <v>38</v>
      </c>
      <c r="Q45" s="3">
        <f t="shared" si="7"/>
        <v>59</v>
      </c>
      <c r="R45" s="3" t="str">
        <f t="shared" si="8"/>
        <v>'GROUP_BSCS_CALC_1'</v>
      </c>
      <c r="T45" s="3" t="str">
        <f t="shared" si="9"/>
        <v>SELECT @GROUP_BSCS_2023_2024_CALC_1 = RequirementGroupID FROM Bellini.RequirementGroup WHERE MajorID = @MAJOR_BSCS AND CatalogID = @CATALOG_2023_2024 AND GroupCode = 'GROUP_BSCS_CALC_1';</v>
      </c>
    </row>
    <row r="46" spans="6:20" x14ac:dyDescent="0.3">
      <c r="F46" s="3" t="s">
        <v>1196</v>
      </c>
      <c r="G46" s="3" t="str">
        <f t="shared" si="12"/>
        <v>2023_2024</v>
      </c>
      <c r="H46" s="3" t="s">
        <v>282</v>
      </c>
      <c r="I46" s="3" t="str">
        <f t="shared" si="1"/>
        <v>CALC_2</v>
      </c>
      <c r="J46" s="3">
        <f t="shared" si="2"/>
        <v>1</v>
      </c>
      <c r="L46" s="3" t="str">
        <f t="shared" si="3"/>
        <v xml:space="preserve">    (@MAJOR_BSCS, @CATALOG_2023_2024, 'GROUP_BSCS_CALC_2', 'BSCS Calculus II', 1),</v>
      </c>
      <c r="N46" s="3" t="str">
        <f t="shared" si="4"/>
        <v xml:space="preserve">    @GROUP_BSCS_2023_2024_CALC_2 INT,</v>
      </c>
      <c r="O46" s="3" t="str">
        <f t="shared" si="5"/>
        <v xml:space="preserve">    @GROUP_BSCS_2023_2024_CALC_2</v>
      </c>
      <c r="P46" s="3">
        <f t="shared" si="6"/>
        <v>38</v>
      </c>
      <c r="Q46" s="3">
        <f t="shared" si="7"/>
        <v>59</v>
      </c>
      <c r="R46" s="3" t="str">
        <f t="shared" si="8"/>
        <v>'GROUP_BSCS_CALC_2'</v>
      </c>
      <c r="T46" s="3" t="str">
        <f t="shared" si="9"/>
        <v>SELECT @GROUP_BSCS_2023_2024_CALC_2 = RequirementGroupID FROM Bellini.RequirementGroup WHERE MajorID = @MAJOR_BSCS AND CatalogID = @CATALOG_2023_2024 AND GroupCode = 'GROUP_BSCS_CALC_2';</v>
      </c>
    </row>
    <row r="47" spans="6:20" x14ac:dyDescent="0.3">
      <c r="F47" s="3" t="s">
        <v>1196</v>
      </c>
      <c r="G47" s="3" t="str">
        <f t="shared" si="12"/>
        <v>2023_2024</v>
      </c>
      <c r="H47" s="3" t="s">
        <v>284</v>
      </c>
      <c r="I47" s="3" t="str">
        <f t="shared" si="1"/>
        <v>CALC_3</v>
      </c>
      <c r="J47" s="3">
        <f t="shared" si="2"/>
        <v>1</v>
      </c>
      <c r="L47" s="3" t="str">
        <f t="shared" si="3"/>
        <v xml:space="preserve">    (@MAJOR_BSCS, @CATALOG_2023_2024, 'GROUP_BSCS_CALC_3', 'BSCS Calculus III', 1),</v>
      </c>
      <c r="N47" s="3" t="str">
        <f t="shared" si="4"/>
        <v xml:space="preserve">    @GROUP_BSCS_2023_2024_CALC_3 INT,</v>
      </c>
      <c r="O47" s="3" t="str">
        <f t="shared" si="5"/>
        <v xml:space="preserve">    @GROUP_BSCS_2023_2024_CALC_3</v>
      </c>
      <c r="P47" s="3">
        <f t="shared" si="6"/>
        <v>38</v>
      </c>
      <c r="Q47" s="3">
        <f t="shared" si="7"/>
        <v>59</v>
      </c>
      <c r="R47" s="3" t="str">
        <f t="shared" si="8"/>
        <v>'GROUP_BSCS_CALC_3'</v>
      </c>
      <c r="T47" s="3" t="str">
        <f t="shared" si="9"/>
        <v>SELECT @GROUP_BSCS_2023_2024_CALC_3 = RequirementGroupID FROM Bellini.RequirementGroup WHERE MajorID = @MAJOR_BSCS AND CatalogID = @CATALOG_2023_2024 AND GroupCode = 'GROUP_BSCS_CALC_3';</v>
      </c>
    </row>
    <row r="48" spans="6:20" x14ac:dyDescent="0.3">
      <c r="F48" s="3" t="s">
        <v>1196</v>
      </c>
      <c r="G48" s="3" t="str">
        <f t="shared" si="12"/>
        <v>2023_2024</v>
      </c>
      <c r="H48" s="3" t="s">
        <v>1049</v>
      </c>
      <c r="I48" s="3" t="str">
        <f t="shared" si="1"/>
        <v>GENERAL</v>
      </c>
      <c r="J48" s="3">
        <f t="shared" si="2"/>
        <v>25</v>
      </c>
      <c r="L48" s="3" t="str">
        <f t="shared" si="3"/>
        <v xml:space="preserve">    (@MAJOR_BSCS, @CATALOG_2023_2024, 'GROUP_BSCS_GENERAL', 'BSCS BSCS General', 25),</v>
      </c>
      <c r="N48" s="3" t="str">
        <f t="shared" si="4"/>
        <v xml:space="preserve">    @GROUP_BSCS_2023_2024_GENERAL INT,</v>
      </c>
      <c r="O48" s="3" t="str">
        <f t="shared" si="5"/>
        <v xml:space="preserve">    @GROUP_BSCS_2023_2024_GENERAL</v>
      </c>
      <c r="P48" s="3">
        <f t="shared" si="6"/>
        <v>38</v>
      </c>
      <c r="Q48" s="3">
        <f t="shared" si="7"/>
        <v>60</v>
      </c>
      <c r="R48" s="3" t="str">
        <f t="shared" si="8"/>
        <v>'GROUP_BSCS_GENERAL'</v>
      </c>
      <c r="T48" s="3" t="str">
        <f t="shared" si="9"/>
        <v>SELECT @GROUP_BSCS_2023_2024_GENERAL = RequirementGroupID FROM Bellini.RequirementGroup WHERE MajorID = @MAJOR_BSCS AND CatalogID = @CATALOG_2023_2024 AND GroupCode = 'GROUP_BSCS_GENERAL';</v>
      </c>
    </row>
    <row r="49" spans="6:20" x14ac:dyDescent="0.3">
      <c r="F49" s="3" t="s">
        <v>1196</v>
      </c>
      <c r="G49" s="3" t="str">
        <f t="shared" si="12"/>
        <v>2023_2024</v>
      </c>
      <c r="H49" s="1" t="s">
        <v>1040</v>
      </c>
      <c r="I49" s="3" t="str">
        <f t="shared" si="1"/>
        <v>SOFTWARE_ELECTIVES</v>
      </c>
      <c r="J49" s="3">
        <f t="shared" si="2"/>
        <v>2</v>
      </c>
      <c r="L49" s="3" t="str">
        <f t="shared" si="3"/>
        <v xml:space="preserve">    (@MAJOR_BSCS, @CATALOG_2023_2024, 'GROUP_BSCS_SOFTWARE_ELECTIVES', 'BSCS BSCS 2023 Software Electives', 2),</v>
      </c>
      <c r="N49" s="3" t="str">
        <f t="shared" si="4"/>
        <v xml:space="preserve">    @GROUP_BSCS_2023_2024_SOFTWARE_ELECTIVES INT,</v>
      </c>
      <c r="O49" s="3" t="str">
        <f t="shared" si="5"/>
        <v xml:space="preserve">    @GROUP_BSCS_2023_2024_SOFTWARE_ELECTIVES</v>
      </c>
      <c r="P49" s="3">
        <f t="shared" si="6"/>
        <v>38</v>
      </c>
      <c r="Q49" s="3">
        <f t="shared" si="7"/>
        <v>71</v>
      </c>
      <c r="R49" s="3" t="str">
        <f t="shared" si="8"/>
        <v>'GROUP_BSCS_SOFTWARE_ELECTIVES'</v>
      </c>
      <c r="T49" s="3" t="str">
        <f t="shared" si="9"/>
        <v>SELECT @GROUP_BSCS_2023_2024_SOFTWARE_ELECTIVES = RequirementGroupID FROM Bellini.RequirementGroup WHERE MajorID = @MAJOR_BSCS AND CatalogID = @CATALOG_2023_2024 AND GroupCode = 'GROUP_BSCS_SOFTWARE_ELECTIVES';</v>
      </c>
    </row>
    <row r="50" spans="6:20" x14ac:dyDescent="0.3">
      <c r="F50" s="3" t="s">
        <v>1196</v>
      </c>
      <c r="G50" s="3" t="str">
        <f t="shared" si="12"/>
        <v>2023_2024</v>
      </c>
      <c r="H50" s="1" t="s">
        <v>1041</v>
      </c>
      <c r="I50" s="3" t="str">
        <f t="shared" si="1"/>
        <v>THEORY_ELECTIVES</v>
      </c>
      <c r="J50" s="3">
        <f t="shared" si="2"/>
        <v>1</v>
      </c>
      <c r="L50" s="3" t="str">
        <f t="shared" si="3"/>
        <v xml:space="preserve">    (@MAJOR_BSCS, @CATALOG_2023_2024, 'GROUP_BSCS_THEORY_ELECTIVES', 'BSCS BSCS 2023 Theory Eelectives', 1),</v>
      </c>
      <c r="N50" s="3" t="str">
        <f t="shared" si="4"/>
        <v xml:space="preserve">    @GROUP_BSCS_2023_2024_THEORY_ELECTIVES INT,</v>
      </c>
      <c r="O50" s="3" t="str">
        <f t="shared" si="5"/>
        <v xml:space="preserve">    @GROUP_BSCS_2023_2024_THEORY_ELECTIVES</v>
      </c>
      <c r="P50" s="3">
        <f t="shared" si="6"/>
        <v>38</v>
      </c>
      <c r="Q50" s="3">
        <f t="shared" si="7"/>
        <v>69</v>
      </c>
      <c r="R50" s="3" t="str">
        <f t="shared" si="8"/>
        <v>'GROUP_BSCS_THEORY_ELECTIVES'</v>
      </c>
      <c r="T50" s="3" t="str">
        <f t="shared" si="9"/>
        <v>SELECT @GROUP_BSCS_2023_2024_THEORY_ELECTIVES = RequirementGroupID FROM Bellini.RequirementGroup WHERE MajorID = @MAJOR_BSCS AND CatalogID = @CATALOG_2023_2024 AND GroupCode = 'GROUP_BSCS_THEORY_ELECTIVES';</v>
      </c>
    </row>
    <row r="51" spans="6:20" x14ac:dyDescent="0.3">
      <c r="F51" s="3" t="s">
        <v>1196</v>
      </c>
      <c r="G51" s="3" t="str">
        <f t="shared" si="12"/>
        <v>2023_2024</v>
      </c>
      <c r="H51" s="1" t="s">
        <v>1042</v>
      </c>
      <c r="I51" s="3" t="str">
        <f t="shared" si="1"/>
        <v>ELECTIVES</v>
      </c>
      <c r="J51" s="3">
        <f t="shared" si="2"/>
        <v>4</v>
      </c>
      <c r="L51" s="3" t="str">
        <f t="shared" si="3"/>
        <v xml:space="preserve">    (@MAJOR_BSCS, @CATALOG_2023_2024, 'GROUP_BSCS_ELECTIVES', 'BSCS BSCS 2023 Electives', 4),</v>
      </c>
      <c r="N51" s="3" t="str">
        <f t="shared" si="4"/>
        <v xml:space="preserve">    @GROUP_BSCS_2023_2024_ELECTIVES INT,</v>
      </c>
      <c r="O51" s="3" t="str">
        <f t="shared" si="5"/>
        <v xml:space="preserve">    @GROUP_BSCS_2023_2024_ELECTIVES</v>
      </c>
      <c r="P51" s="3">
        <f t="shared" si="6"/>
        <v>38</v>
      </c>
      <c r="Q51" s="3">
        <f t="shared" si="7"/>
        <v>62</v>
      </c>
      <c r="R51" s="3" t="str">
        <f t="shared" si="8"/>
        <v>'GROUP_BSCS_ELECTIVES'</v>
      </c>
      <c r="T51" s="3" t="str">
        <f t="shared" si="9"/>
        <v>SELECT @GROUP_BSCS_2023_2024_ELECTIVES = RequirementGroupID FROM Bellini.RequirementGroup WHERE MajorID = @MAJOR_BSCS AND CatalogID = @CATALOG_2023_2024 AND GroupCode = 'GROUP_BSCS_ELECTIVES';</v>
      </c>
    </row>
    <row r="53" spans="6:20" x14ac:dyDescent="0.3">
      <c r="F53" s="3" t="s">
        <v>1197</v>
      </c>
      <c r="G53" s="3" t="str">
        <f>"2022_2023"</f>
        <v>2022_2023</v>
      </c>
      <c r="H53" s="3" t="s">
        <v>1174</v>
      </c>
      <c r="I53" s="3" t="str">
        <f t="shared" si="1"/>
        <v>GECH</v>
      </c>
      <c r="J53" s="3">
        <f t="shared" si="2"/>
        <v>2</v>
      </c>
      <c r="L53" s="3" t="str">
        <f t="shared" si="3"/>
        <v xml:space="preserve">    (@MAJOR_BSCYS, @CATALOG_2022_2023, 'GROUP_BSCYS_GECH', 'BSCYS General Education Core Humanities', 2),</v>
      </c>
      <c r="N53" s="3" t="str">
        <f t="shared" si="4"/>
        <v xml:space="preserve">    @GROUP_BSCYS_2022_2023_GECH INT,</v>
      </c>
      <c r="O53" s="3" t="str">
        <f t="shared" si="5"/>
        <v xml:space="preserve">    @GROUP_BSCYS_2022_2023_GECH</v>
      </c>
      <c r="P53" s="3">
        <f t="shared" si="6"/>
        <v>39</v>
      </c>
      <c r="Q53" s="3">
        <f t="shared" si="7"/>
        <v>59</v>
      </c>
      <c r="R53" s="3" t="str">
        <f t="shared" si="8"/>
        <v>'GROUP_BSCYS_GECH'</v>
      </c>
      <c r="T53" s="3" t="str">
        <f t="shared" si="9"/>
        <v>SELECT @GROUP_BSCYS_2022_2023_GECH = RequirementGroupID FROM Bellini.RequirementGroup WHERE MajorID = @MAJOR_BSCYS AND CatalogID = @CATALOG_2022_2023 AND GroupCode = 'GROUP_BSCYS_GECH';</v>
      </c>
    </row>
    <row r="54" spans="6:20" x14ac:dyDescent="0.3">
      <c r="F54" s="3" t="s">
        <v>1197</v>
      </c>
      <c r="G54" s="3" t="str">
        <f t="shared" ref="G54:G58" si="13">"2022_2023"</f>
        <v>2022_2023</v>
      </c>
      <c r="H54" s="3" t="s">
        <v>1177</v>
      </c>
      <c r="I54" s="3" t="str">
        <f t="shared" si="1"/>
        <v>GECM</v>
      </c>
      <c r="J54" s="3">
        <f t="shared" si="2"/>
        <v>2</v>
      </c>
      <c r="L54" s="3" t="str">
        <f t="shared" si="3"/>
        <v xml:space="preserve">    (@MAJOR_BSCYS, @CATALOG_2022_2023, 'GROUP_BSCYS_GECM', 'BSCYS General Education Core Mathematics', 2),</v>
      </c>
      <c r="N54" s="3" t="str">
        <f t="shared" si="4"/>
        <v xml:space="preserve">    @GROUP_BSCYS_2022_2023_GECM INT,</v>
      </c>
      <c r="O54" s="3" t="str">
        <f t="shared" si="5"/>
        <v xml:space="preserve">    @GROUP_BSCYS_2022_2023_GECM</v>
      </c>
      <c r="P54" s="3">
        <f t="shared" si="6"/>
        <v>39</v>
      </c>
      <c r="Q54" s="3">
        <f t="shared" si="7"/>
        <v>59</v>
      </c>
      <c r="R54" s="3" t="str">
        <f t="shared" si="8"/>
        <v>'GROUP_BSCYS_GECM'</v>
      </c>
      <c r="T54" s="3" t="str">
        <f t="shared" si="9"/>
        <v>SELECT @GROUP_BSCYS_2022_2023_GECM = RequirementGroupID FROM Bellini.RequirementGroup WHERE MajorID = @MAJOR_BSCYS AND CatalogID = @CATALOG_2022_2023 AND GroupCode = 'GROUP_BSCYS_GECM';</v>
      </c>
    </row>
    <row r="55" spans="6:20" x14ac:dyDescent="0.3">
      <c r="F55" s="3" t="s">
        <v>1197</v>
      </c>
      <c r="G55" s="3" t="str">
        <f t="shared" si="13"/>
        <v>2022_2023</v>
      </c>
      <c r="H55" s="3" t="s">
        <v>1178</v>
      </c>
      <c r="I55" s="3" t="str">
        <f t="shared" si="1"/>
        <v>GECN</v>
      </c>
      <c r="J55" s="3">
        <f t="shared" si="2"/>
        <v>2</v>
      </c>
      <c r="L55" s="3" t="str">
        <f t="shared" si="3"/>
        <v xml:space="preserve">    (@MAJOR_BSCYS, @CATALOG_2022_2023, 'GROUP_BSCYS_GECN', 'BSCYS General Education Core Natural Sciences Elective', 2),</v>
      </c>
      <c r="N55" s="3" t="str">
        <f t="shared" si="4"/>
        <v xml:space="preserve">    @GROUP_BSCYS_2022_2023_GECN INT,</v>
      </c>
      <c r="O55" s="3" t="str">
        <f t="shared" si="5"/>
        <v xml:space="preserve">    @GROUP_BSCYS_2022_2023_GECN</v>
      </c>
      <c r="P55" s="3">
        <f t="shared" si="6"/>
        <v>39</v>
      </c>
      <c r="Q55" s="3">
        <f t="shared" si="7"/>
        <v>59</v>
      </c>
      <c r="R55" s="3" t="str">
        <f t="shared" si="8"/>
        <v>'GROUP_BSCYS_GECN'</v>
      </c>
      <c r="T55" s="3" t="str">
        <f t="shared" si="9"/>
        <v>SELECT @GROUP_BSCYS_2022_2023_GECN = RequirementGroupID FROM Bellini.RequirementGroup WHERE MajorID = @MAJOR_BSCYS AND CatalogID = @CATALOG_2022_2023 AND GroupCode = 'GROUP_BSCYS_GECN';</v>
      </c>
    </row>
    <row r="56" spans="6:20" x14ac:dyDescent="0.3">
      <c r="F56" s="3" t="s">
        <v>1197</v>
      </c>
      <c r="G56" s="3" t="str">
        <f t="shared" si="13"/>
        <v>2022_2023</v>
      </c>
      <c r="H56" s="3" t="s">
        <v>1179</v>
      </c>
      <c r="I56" s="3" t="str">
        <f t="shared" si="1"/>
        <v>GECS</v>
      </c>
      <c r="J56" s="3">
        <f t="shared" si="2"/>
        <v>2</v>
      </c>
      <c r="L56" s="3" t="str">
        <f t="shared" si="3"/>
        <v xml:space="preserve">    (@MAJOR_BSCYS, @CATALOG_2022_2023, 'GROUP_BSCYS_GECS', 'BSCYS General Education Core Social Sciences', 2),</v>
      </c>
      <c r="N56" s="3" t="str">
        <f t="shared" si="4"/>
        <v xml:space="preserve">    @GROUP_BSCYS_2022_2023_GECS INT,</v>
      </c>
      <c r="O56" s="3" t="str">
        <f t="shared" si="5"/>
        <v xml:space="preserve">    @GROUP_BSCYS_2022_2023_GECS</v>
      </c>
      <c r="P56" s="3">
        <f t="shared" si="6"/>
        <v>39</v>
      </c>
      <c r="Q56" s="3">
        <f t="shared" si="7"/>
        <v>59</v>
      </c>
      <c r="R56" s="3" t="str">
        <f t="shared" si="8"/>
        <v>'GROUP_BSCYS_GECS'</v>
      </c>
      <c r="T56" s="3" t="str">
        <f t="shared" si="9"/>
        <v>SELECT @GROUP_BSCYS_2022_2023_GECS = RequirementGroupID FROM Bellini.RequirementGroup WHERE MajorID = @MAJOR_BSCYS AND CatalogID = @CATALOG_2022_2023 AND GroupCode = 'GROUP_BSCYS_GECS';</v>
      </c>
    </row>
    <row r="57" spans="6:20" x14ac:dyDescent="0.3">
      <c r="F57" s="3" t="s">
        <v>1197</v>
      </c>
      <c r="G57" s="3" t="str">
        <f t="shared" si="13"/>
        <v>2022_2023</v>
      </c>
      <c r="H57" s="1" t="s">
        <v>1045</v>
      </c>
      <c r="I57" s="3" t="str">
        <f t="shared" si="1"/>
        <v>GENERAL</v>
      </c>
      <c r="J57" s="3">
        <f t="shared" si="2"/>
        <v>31</v>
      </c>
      <c r="L57" s="3" t="str">
        <f t="shared" si="3"/>
        <v xml:space="preserve">    (@MAJOR_BSCYS, @CATALOG_2022_2023, 'GROUP_BSCYS_GENERAL', 'BSCYS BSCYS General', 31),</v>
      </c>
      <c r="N57" s="3" t="str">
        <f t="shared" si="4"/>
        <v xml:space="preserve">    @GROUP_BSCYS_2022_2023_GENERAL INT,</v>
      </c>
      <c r="O57" s="3" t="str">
        <f t="shared" si="5"/>
        <v xml:space="preserve">    @GROUP_BSCYS_2022_2023_GENERAL</v>
      </c>
      <c r="P57" s="3">
        <f t="shared" si="6"/>
        <v>39</v>
      </c>
      <c r="Q57" s="3">
        <f t="shared" si="7"/>
        <v>62</v>
      </c>
      <c r="R57" s="3" t="str">
        <f t="shared" si="8"/>
        <v>'GROUP_BSCYS_GENERAL'</v>
      </c>
      <c r="T57" s="3" t="str">
        <f t="shared" si="9"/>
        <v>SELECT @GROUP_BSCYS_2022_2023_GENERAL = RequirementGroupID FROM Bellini.RequirementGroup WHERE MajorID = @MAJOR_BSCYS AND CatalogID = @CATALOG_2022_2023 AND GroupCode = 'GROUP_BSCYS_GENERAL';</v>
      </c>
    </row>
    <row r="58" spans="6:20" x14ac:dyDescent="0.3">
      <c r="F58" s="3" t="s">
        <v>1197</v>
      </c>
      <c r="G58" s="3" t="str">
        <f t="shared" si="13"/>
        <v>2022_2023</v>
      </c>
      <c r="H58" s="1" t="s">
        <v>1035</v>
      </c>
      <c r="I58" s="3" t="str">
        <f t="shared" si="1"/>
        <v>ELECTIVES</v>
      </c>
      <c r="J58" s="3">
        <f t="shared" si="2"/>
        <v>3</v>
      </c>
      <c r="L58" s="3" t="str">
        <f t="shared" si="3"/>
        <v xml:space="preserve">    (@MAJOR_BSCYS, @CATALOG_2022_2023, 'GROUP_BSCYS_ELECTIVES', 'BSCYS BSCYS 2022 Electives', 3),</v>
      </c>
      <c r="N58" s="3" t="str">
        <f t="shared" si="4"/>
        <v xml:space="preserve">    @GROUP_BSCYS_2022_2023_ELECTIVES INT,</v>
      </c>
      <c r="O58" s="3" t="str">
        <f t="shared" si="5"/>
        <v xml:space="preserve">    @GROUP_BSCYS_2022_2023_ELECTIVES</v>
      </c>
      <c r="P58" s="3">
        <f t="shared" si="6"/>
        <v>39</v>
      </c>
      <c r="Q58" s="3">
        <f t="shared" si="7"/>
        <v>64</v>
      </c>
      <c r="R58" s="3" t="str">
        <f t="shared" si="8"/>
        <v>'GROUP_BSCYS_ELECTIVES'</v>
      </c>
      <c r="T58" s="3" t="str">
        <f t="shared" si="9"/>
        <v>SELECT @GROUP_BSCYS_2022_2023_ELECTIVES = RequirementGroupID FROM Bellini.RequirementGroup WHERE MajorID = @MAJOR_BSCYS AND CatalogID = @CATALOG_2022_2023 AND GroupCode = 'GROUP_BSCYS_ELECTIVES';</v>
      </c>
    </row>
    <row r="60" spans="6:20" x14ac:dyDescent="0.3">
      <c r="F60" s="3" t="s">
        <v>1197</v>
      </c>
      <c r="G60" s="3" t="str">
        <f>"2023_2024"</f>
        <v>2023_2024</v>
      </c>
      <c r="H60" s="3" t="s">
        <v>1174</v>
      </c>
      <c r="I60" s="3" t="str">
        <f t="shared" si="1"/>
        <v>GECH</v>
      </c>
      <c r="J60" s="3">
        <f t="shared" si="2"/>
        <v>2</v>
      </c>
      <c r="L60" s="3" t="str">
        <f t="shared" si="3"/>
        <v xml:space="preserve">    (@MAJOR_BSCYS, @CATALOG_2023_2024, 'GROUP_BSCYS_GECH', 'BSCYS General Education Core Humanities', 2),</v>
      </c>
      <c r="N60" s="3" t="str">
        <f t="shared" si="4"/>
        <v xml:space="preserve">    @GROUP_BSCYS_2023_2024_GECH INT,</v>
      </c>
      <c r="O60" s="3" t="str">
        <f t="shared" si="5"/>
        <v xml:space="preserve">    @GROUP_BSCYS_2023_2024_GECH</v>
      </c>
      <c r="P60" s="3">
        <f t="shared" si="6"/>
        <v>39</v>
      </c>
      <c r="Q60" s="3">
        <f t="shared" si="7"/>
        <v>59</v>
      </c>
      <c r="R60" s="3" t="str">
        <f t="shared" si="8"/>
        <v>'GROUP_BSCYS_GECH'</v>
      </c>
      <c r="T60" s="3" t="str">
        <f t="shared" si="9"/>
        <v>SELECT @GROUP_BSCYS_2023_2024_GECH = RequirementGroupID FROM Bellini.RequirementGroup WHERE MajorID = @MAJOR_BSCYS AND CatalogID = @CATALOG_2023_2024 AND GroupCode = 'GROUP_BSCYS_GECH';</v>
      </c>
    </row>
    <row r="61" spans="6:20" x14ac:dyDescent="0.3">
      <c r="F61" s="3" t="s">
        <v>1197</v>
      </c>
      <c r="G61" s="3" t="str">
        <f t="shared" ref="G61:G65" si="14">"2023_2024"</f>
        <v>2023_2024</v>
      </c>
      <c r="H61" s="3" t="s">
        <v>1177</v>
      </c>
      <c r="I61" s="3" t="str">
        <f t="shared" si="1"/>
        <v>GECM</v>
      </c>
      <c r="J61" s="3">
        <f t="shared" si="2"/>
        <v>2</v>
      </c>
      <c r="L61" s="3" t="str">
        <f t="shared" si="3"/>
        <v xml:space="preserve">    (@MAJOR_BSCYS, @CATALOG_2023_2024, 'GROUP_BSCYS_GECM', 'BSCYS General Education Core Mathematics', 2),</v>
      </c>
      <c r="N61" s="3" t="str">
        <f t="shared" si="4"/>
        <v xml:space="preserve">    @GROUP_BSCYS_2023_2024_GECM INT,</v>
      </c>
      <c r="O61" s="3" t="str">
        <f t="shared" si="5"/>
        <v xml:space="preserve">    @GROUP_BSCYS_2023_2024_GECM</v>
      </c>
      <c r="P61" s="3">
        <f t="shared" si="6"/>
        <v>39</v>
      </c>
      <c r="Q61" s="3">
        <f t="shared" si="7"/>
        <v>59</v>
      </c>
      <c r="R61" s="3" t="str">
        <f t="shared" si="8"/>
        <v>'GROUP_BSCYS_GECM'</v>
      </c>
      <c r="T61" s="3" t="str">
        <f t="shared" si="9"/>
        <v>SELECT @GROUP_BSCYS_2023_2024_GECM = RequirementGroupID FROM Bellini.RequirementGroup WHERE MajorID = @MAJOR_BSCYS AND CatalogID = @CATALOG_2023_2024 AND GroupCode = 'GROUP_BSCYS_GECM';</v>
      </c>
    </row>
    <row r="62" spans="6:20" x14ac:dyDescent="0.3">
      <c r="F62" s="3" t="s">
        <v>1197</v>
      </c>
      <c r="G62" s="3" t="str">
        <f t="shared" si="14"/>
        <v>2023_2024</v>
      </c>
      <c r="H62" s="3" t="s">
        <v>1178</v>
      </c>
      <c r="I62" s="3" t="str">
        <f t="shared" si="1"/>
        <v>GECN</v>
      </c>
      <c r="J62" s="3">
        <f t="shared" si="2"/>
        <v>2</v>
      </c>
      <c r="L62" s="3" t="str">
        <f t="shared" si="3"/>
        <v xml:space="preserve">    (@MAJOR_BSCYS, @CATALOG_2023_2024, 'GROUP_BSCYS_GECN', 'BSCYS General Education Core Natural Sciences Elective', 2),</v>
      </c>
      <c r="N62" s="3" t="str">
        <f t="shared" si="4"/>
        <v xml:space="preserve">    @GROUP_BSCYS_2023_2024_GECN INT,</v>
      </c>
      <c r="O62" s="3" t="str">
        <f t="shared" si="5"/>
        <v xml:space="preserve">    @GROUP_BSCYS_2023_2024_GECN</v>
      </c>
      <c r="P62" s="3">
        <f t="shared" si="6"/>
        <v>39</v>
      </c>
      <c r="Q62" s="3">
        <f t="shared" si="7"/>
        <v>59</v>
      </c>
      <c r="R62" s="3" t="str">
        <f t="shared" si="8"/>
        <v>'GROUP_BSCYS_GECN'</v>
      </c>
      <c r="T62" s="3" t="str">
        <f t="shared" si="9"/>
        <v>SELECT @GROUP_BSCYS_2023_2024_GECN = RequirementGroupID FROM Bellini.RequirementGroup WHERE MajorID = @MAJOR_BSCYS AND CatalogID = @CATALOG_2023_2024 AND GroupCode = 'GROUP_BSCYS_GECN';</v>
      </c>
    </row>
    <row r="63" spans="6:20" x14ac:dyDescent="0.3">
      <c r="F63" s="3" t="s">
        <v>1197</v>
      </c>
      <c r="G63" s="3" t="str">
        <f t="shared" si="14"/>
        <v>2023_2024</v>
      </c>
      <c r="H63" s="3" t="s">
        <v>1179</v>
      </c>
      <c r="I63" s="3" t="str">
        <f t="shared" si="1"/>
        <v>GECS</v>
      </c>
      <c r="J63" s="3">
        <f t="shared" si="2"/>
        <v>2</v>
      </c>
      <c r="L63" s="3" t="str">
        <f t="shared" si="3"/>
        <v xml:space="preserve">    (@MAJOR_BSCYS, @CATALOG_2023_2024, 'GROUP_BSCYS_GECS', 'BSCYS General Education Core Social Sciences', 2),</v>
      </c>
      <c r="N63" s="3" t="str">
        <f t="shared" si="4"/>
        <v xml:space="preserve">    @GROUP_BSCYS_2023_2024_GECS INT,</v>
      </c>
      <c r="O63" s="3" t="str">
        <f t="shared" si="5"/>
        <v xml:space="preserve">    @GROUP_BSCYS_2023_2024_GECS</v>
      </c>
      <c r="P63" s="3">
        <f t="shared" si="6"/>
        <v>39</v>
      </c>
      <c r="Q63" s="3">
        <f t="shared" si="7"/>
        <v>59</v>
      </c>
      <c r="R63" s="3" t="str">
        <f t="shared" si="8"/>
        <v>'GROUP_BSCYS_GECS'</v>
      </c>
      <c r="T63" s="3" t="str">
        <f t="shared" si="9"/>
        <v>SELECT @GROUP_BSCYS_2023_2024_GECS = RequirementGroupID FROM Bellini.RequirementGroup WHERE MajorID = @MAJOR_BSCYS AND CatalogID = @CATALOG_2023_2024 AND GroupCode = 'GROUP_BSCYS_GECS';</v>
      </c>
    </row>
    <row r="64" spans="6:20" x14ac:dyDescent="0.3">
      <c r="F64" s="3" t="s">
        <v>1197</v>
      </c>
      <c r="G64" s="3" t="str">
        <f t="shared" si="14"/>
        <v>2023_2024</v>
      </c>
      <c r="H64" s="1" t="s">
        <v>1045</v>
      </c>
      <c r="I64" s="3" t="str">
        <f t="shared" si="1"/>
        <v>GENERAL</v>
      </c>
      <c r="J64" s="3">
        <f t="shared" si="2"/>
        <v>31</v>
      </c>
      <c r="L64" s="3" t="str">
        <f t="shared" si="3"/>
        <v xml:space="preserve">    (@MAJOR_BSCYS, @CATALOG_2023_2024, 'GROUP_BSCYS_GENERAL', 'BSCYS BSCYS General', 31),</v>
      </c>
      <c r="N64" s="3" t="str">
        <f t="shared" si="4"/>
        <v xml:space="preserve">    @GROUP_BSCYS_2023_2024_GENERAL INT,</v>
      </c>
      <c r="O64" s="3" t="str">
        <f t="shared" si="5"/>
        <v xml:space="preserve">    @GROUP_BSCYS_2023_2024_GENERAL</v>
      </c>
      <c r="P64" s="3">
        <f t="shared" si="6"/>
        <v>39</v>
      </c>
      <c r="Q64" s="3">
        <f t="shared" si="7"/>
        <v>62</v>
      </c>
      <c r="R64" s="3" t="str">
        <f t="shared" si="8"/>
        <v>'GROUP_BSCYS_GENERAL'</v>
      </c>
      <c r="T64" s="3" t="str">
        <f t="shared" si="9"/>
        <v>SELECT @GROUP_BSCYS_2023_2024_GENERAL = RequirementGroupID FROM Bellini.RequirementGroup WHERE MajorID = @MAJOR_BSCYS AND CatalogID = @CATALOG_2023_2024 AND GroupCode = 'GROUP_BSCYS_GENERAL';</v>
      </c>
    </row>
    <row r="65" spans="6:20" x14ac:dyDescent="0.3">
      <c r="F65" s="3" t="s">
        <v>1197</v>
      </c>
      <c r="G65" s="3" t="str">
        <f t="shared" si="14"/>
        <v>2023_2024</v>
      </c>
      <c r="H65" s="1" t="s">
        <v>1043</v>
      </c>
      <c r="I65" s="3" t="str">
        <f t="shared" si="1"/>
        <v>ELECTIVES</v>
      </c>
      <c r="J65" s="3">
        <f t="shared" si="2"/>
        <v>3</v>
      </c>
      <c r="L65" s="3" t="str">
        <f t="shared" si="3"/>
        <v xml:space="preserve">    (@MAJOR_BSCYS, @CATALOG_2023_2024, 'GROUP_BSCYS_ELECTIVES', 'BSCYS BSCYS 2023 Electives', 3),</v>
      </c>
      <c r="N65" s="3" t="str">
        <f t="shared" si="4"/>
        <v xml:space="preserve">    @GROUP_BSCYS_2023_2024_ELECTIVES INT,</v>
      </c>
      <c r="O65" s="3" t="str">
        <f t="shared" si="5"/>
        <v xml:space="preserve">    @GROUP_BSCYS_2023_2024_ELECTIVES</v>
      </c>
      <c r="P65" s="3">
        <f t="shared" si="6"/>
        <v>39</v>
      </c>
      <c r="Q65" s="3">
        <f t="shared" si="7"/>
        <v>64</v>
      </c>
      <c r="R65" s="3" t="str">
        <f t="shared" si="8"/>
        <v>'GROUP_BSCYS_ELECTIVES'</v>
      </c>
      <c r="T65" s="3" t="str">
        <f t="shared" si="9"/>
        <v>SELECT @GROUP_BSCYS_2023_2024_ELECTIVES = RequirementGroupID FROM Bellini.RequirementGroup WHERE MajorID = @MAJOR_BSCYS AND CatalogID = @CATALOG_2023_2024 AND GroupCode = 'GROUP_BSCYS_ELECTIVES';</v>
      </c>
    </row>
    <row r="67" spans="6:20" x14ac:dyDescent="0.3">
      <c r="F67" s="3" t="s">
        <v>1198</v>
      </c>
      <c r="G67" s="3" t="str">
        <f>"2022_2023"</f>
        <v>2022_2023</v>
      </c>
      <c r="H67" s="3" t="s">
        <v>1174</v>
      </c>
      <c r="I67" s="3" t="str">
        <f t="shared" si="1"/>
        <v>GECH</v>
      </c>
      <c r="J67" s="3">
        <f t="shared" si="2"/>
        <v>2</v>
      </c>
      <c r="L67" s="3" t="str">
        <f t="shared" si="3"/>
        <v xml:space="preserve">    (@MAJOR_BSIT, @CATALOG_2022_2023, 'GROUP_BSIT_GECH', 'BSIT General Education Core Humanities', 2),</v>
      </c>
      <c r="N67" s="3" t="str">
        <f t="shared" si="4"/>
        <v xml:space="preserve">    @GROUP_BSIT_2022_2023_GECH INT,</v>
      </c>
      <c r="O67" s="3" t="str">
        <f t="shared" si="5"/>
        <v xml:space="preserve">    @GROUP_BSIT_2022_2023_GECH</v>
      </c>
      <c r="P67" s="3">
        <f t="shared" si="6"/>
        <v>38</v>
      </c>
      <c r="Q67" s="3">
        <f t="shared" si="7"/>
        <v>57</v>
      </c>
      <c r="R67" s="3" t="str">
        <f t="shared" si="8"/>
        <v>'GROUP_BSIT_GECH'</v>
      </c>
      <c r="T67" s="3" t="str">
        <f t="shared" si="9"/>
        <v>SELECT @GROUP_BSIT_2022_2023_GECH = RequirementGroupID FROM Bellini.RequirementGroup WHERE MajorID = @MAJOR_BSIT AND CatalogID = @CATALOG_2022_2023 AND GroupCode = 'GROUP_BSIT_GECH';</v>
      </c>
    </row>
    <row r="68" spans="6:20" x14ac:dyDescent="0.3">
      <c r="F68" s="3" t="s">
        <v>1198</v>
      </c>
      <c r="G68" s="3" t="str">
        <f t="shared" ref="G68:G73" si="15">"2022_2023"</f>
        <v>2022_2023</v>
      </c>
      <c r="H68" s="3" t="s">
        <v>1177</v>
      </c>
      <c r="I68" s="3" t="str">
        <f t="shared" ref="I68:I81" si="16">VLOOKUP(H68, $A$3:$C$31, 2)</f>
        <v>GECM</v>
      </c>
      <c r="J68" s="3">
        <f t="shared" ref="J68:J81" si="17">VLOOKUP(H68, $A$3:$C$31, 3)</f>
        <v>2</v>
      </c>
      <c r="L68" s="3" t="str">
        <f t="shared" ref="L68:L81" si="18">"    (@MAJOR_" &amp; F68 &amp; ", @CATALOG_" &amp; G68 &amp; ", 'GROUP_" &amp; F68 &amp; "_" &amp; I68 &amp; "', '" &amp; F68 &amp; " " &amp; H68 &amp; "', " &amp; J68 &amp; "),"</f>
        <v xml:space="preserve">    (@MAJOR_BSIT, @CATALOG_2022_2023, 'GROUP_BSIT_GECM', 'BSIT General Education Core Mathematics', 2),</v>
      </c>
      <c r="N68" s="3" t="str">
        <f t="shared" ref="N68:N81" si="19">"    @GROUP_" &amp; F68  &amp; "_" &amp; G68 &amp; "_" &amp; I68 &amp; " INT,"</f>
        <v xml:space="preserve">    @GROUP_BSIT_2022_2023_GECM INT,</v>
      </c>
      <c r="O68" s="3" t="str">
        <f t="shared" ref="O68:O81" si="20">MID(N68, 1, LEN(N68) - 5)</f>
        <v xml:space="preserve">    @GROUP_BSIT_2022_2023_GECM</v>
      </c>
      <c r="P68" s="3">
        <f t="shared" ref="P68:P81" si="21">FIND(" ", L68, 20)</f>
        <v>38</v>
      </c>
      <c r="Q68" s="3">
        <f t="shared" ref="Q68:Q81" si="22">FIND(" ", L68, P68 + 1)</f>
        <v>57</v>
      </c>
      <c r="R68" s="3" t="str">
        <f t="shared" ref="R68:R81" si="23">MID(L68, P68 + 1, Q68 - P68 - 2)</f>
        <v>'GROUP_BSIT_GECM'</v>
      </c>
      <c r="T68" s="3" t="str">
        <f t="shared" ref="T68:T81" si="24">"SELECT " &amp; MID(O68, 5, 100) &amp; " = RequirementGroupID FROM Bellini.RequirementGroup WHERE MajorID = @MAJOR_" &amp; F68 &amp; " AND CatalogID = @CATALOG_" &amp; G68 &amp; " AND GroupCode = " &amp; R68 &amp; ";"</f>
        <v>SELECT @GROUP_BSIT_2022_2023_GECM = RequirementGroupID FROM Bellini.RequirementGroup WHERE MajorID = @MAJOR_BSIT AND CatalogID = @CATALOG_2022_2023 AND GroupCode = 'GROUP_BSIT_GECM';</v>
      </c>
    </row>
    <row r="69" spans="6:20" x14ac:dyDescent="0.3">
      <c r="F69" s="3" t="s">
        <v>1198</v>
      </c>
      <c r="G69" s="3" t="str">
        <f t="shared" si="15"/>
        <v>2022_2023</v>
      </c>
      <c r="H69" s="3" t="s">
        <v>1178</v>
      </c>
      <c r="I69" s="3" t="str">
        <f t="shared" si="16"/>
        <v>GECN</v>
      </c>
      <c r="J69" s="3">
        <f t="shared" si="17"/>
        <v>2</v>
      </c>
      <c r="L69" s="3" t="str">
        <f t="shared" si="18"/>
        <v xml:space="preserve">    (@MAJOR_BSIT, @CATALOG_2022_2023, 'GROUP_BSIT_GECN', 'BSIT General Education Core Natural Sciences Elective', 2),</v>
      </c>
      <c r="N69" s="3" t="str">
        <f t="shared" si="19"/>
        <v xml:space="preserve">    @GROUP_BSIT_2022_2023_GECN INT,</v>
      </c>
      <c r="O69" s="3" t="str">
        <f t="shared" si="20"/>
        <v xml:space="preserve">    @GROUP_BSIT_2022_2023_GECN</v>
      </c>
      <c r="P69" s="3">
        <f t="shared" si="21"/>
        <v>38</v>
      </c>
      <c r="Q69" s="3">
        <f t="shared" si="22"/>
        <v>57</v>
      </c>
      <c r="R69" s="3" t="str">
        <f t="shared" si="23"/>
        <v>'GROUP_BSIT_GECN'</v>
      </c>
      <c r="T69" s="3" t="str">
        <f t="shared" si="24"/>
        <v>SELECT @GROUP_BSIT_2022_2023_GECN = RequirementGroupID FROM Bellini.RequirementGroup WHERE MajorID = @MAJOR_BSIT AND CatalogID = @CATALOG_2022_2023 AND GroupCode = 'GROUP_BSIT_GECN';</v>
      </c>
    </row>
    <row r="70" spans="6:20" x14ac:dyDescent="0.3">
      <c r="F70" s="3" t="s">
        <v>1198</v>
      </c>
      <c r="G70" s="3" t="str">
        <f t="shared" si="15"/>
        <v>2022_2023</v>
      </c>
      <c r="H70" s="3" t="s">
        <v>1179</v>
      </c>
      <c r="I70" s="3" t="str">
        <f t="shared" si="16"/>
        <v>GECS</v>
      </c>
      <c r="J70" s="3">
        <f t="shared" si="17"/>
        <v>2</v>
      </c>
      <c r="L70" s="3" t="str">
        <f t="shared" si="18"/>
        <v xml:space="preserve">    (@MAJOR_BSIT, @CATALOG_2022_2023, 'GROUP_BSIT_GECS', 'BSIT General Education Core Social Sciences', 2),</v>
      </c>
      <c r="N70" s="3" t="str">
        <f t="shared" si="19"/>
        <v xml:space="preserve">    @GROUP_BSIT_2022_2023_GECS INT,</v>
      </c>
      <c r="O70" s="3" t="str">
        <f t="shared" si="20"/>
        <v xml:space="preserve">    @GROUP_BSIT_2022_2023_GECS</v>
      </c>
      <c r="P70" s="3">
        <f t="shared" si="21"/>
        <v>38</v>
      </c>
      <c r="Q70" s="3">
        <f t="shared" si="22"/>
        <v>57</v>
      </c>
      <c r="R70" s="3" t="str">
        <f t="shared" si="23"/>
        <v>'GROUP_BSIT_GECS'</v>
      </c>
      <c r="T70" s="3" t="str">
        <f t="shared" si="24"/>
        <v>SELECT @GROUP_BSIT_2022_2023_GECS = RequirementGroupID FROM Bellini.RequirementGroup WHERE MajorID = @MAJOR_BSIT AND CatalogID = @CATALOG_2022_2023 AND GroupCode = 'GROUP_BSIT_GECS';</v>
      </c>
    </row>
    <row r="71" spans="6:20" x14ac:dyDescent="0.3">
      <c r="F71" s="3" t="s">
        <v>1198</v>
      </c>
      <c r="G71" s="3" t="str">
        <f t="shared" si="15"/>
        <v>2022_2023</v>
      </c>
      <c r="H71" s="1" t="s">
        <v>1046</v>
      </c>
      <c r="I71" s="3" t="str">
        <f t="shared" si="16"/>
        <v>GENERAL</v>
      </c>
      <c r="J71" s="3">
        <f t="shared" si="17"/>
        <v>28</v>
      </c>
      <c r="L71" s="3" t="str">
        <f t="shared" si="18"/>
        <v xml:space="preserve">    (@MAJOR_BSIT, @CATALOG_2022_2023, 'GROUP_BSIT_GENERAL', 'BSIT BSIT General', 28),</v>
      </c>
      <c r="N71" s="3" t="str">
        <f t="shared" si="19"/>
        <v xml:space="preserve">    @GROUP_BSIT_2022_2023_GENERAL INT,</v>
      </c>
      <c r="O71" s="3" t="str">
        <f t="shared" si="20"/>
        <v xml:space="preserve">    @GROUP_BSIT_2022_2023_GENERAL</v>
      </c>
      <c r="P71" s="3">
        <f t="shared" si="21"/>
        <v>38</v>
      </c>
      <c r="Q71" s="3">
        <f t="shared" si="22"/>
        <v>60</v>
      </c>
      <c r="R71" s="3" t="str">
        <f t="shared" si="23"/>
        <v>'GROUP_BSIT_GENERAL'</v>
      </c>
      <c r="T71" s="3" t="str">
        <f t="shared" si="24"/>
        <v>SELECT @GROUP_BSIT_2022_2023_GENERAL = RequirementGroupID FROM Bellini.RequirementGroup WHERE MajorID = @MAJOR_BSIT AND CatalogID = @CATALOG_2022_2023 AND GroupCode = 'GROUP_BSIT_GENERAL';</v>
      </c>
    </row>
    <row r="72" spans="6:20" x14ac:dyDescent="0.3">
      <c r="F72" s="3" t="s">
        <v>1198</v>
      </c>
      <c r="G72" s="3" t="str">
        <f t="shared" si="15"/>
        <v>2022_2023</v>
      </c>
      <c r="H72" s="1" t="s">
        <v>1047</v>
      </c>
      <c r="I72" s="3" t="str">
        <f t="shared" si="16"/>
        <v>GENERAL_ADDON</v>
      </c>
      <c r="J72" s="3">
        <f t="shared" si="17"/>
        <v>1</v>
      </c>
      <c r="L72" s="3" t="str">
        <f t="shared" si="18"/>
        <v xml:space="preserve">    (@MAJOR_BSIT, @CATALOG_2022_2023, 'GROUP_BSIT_GENERAL_ADDON', 'BSIT BSIT 2022 General Add-On', 1),</v>
      </c>
      <c r="N72" s="3" t="str">
        <f t="shared" si="19"/>
        <v xml:space="preserve">    @GROUP_BSIT_2022_2023_GENERAL_ADDON INT,</v>
      </c>
      <c r="O72" s="3" t="str">
        <f t="shared" si="20"/>
        <v xml:space="preserve">    @GROUP_BSIT_2022_2023_GENERAL_ADDON</v>
      </c>
      <c r="P72" s="3">
        <f t="shared" si="21"/>
        <v>38</v>
      </c>
      <c r="Q72" s="3">
        <f t="shared" si="22"/>
        <v>66</v>
      </c>
      <c r="R72" s="3" t="str">
        <f t="shared" si="23"/>
        <v>'GROUP_BSIT_GENERAL_ADDON'</v>
      </c>
      <c r="T72" s="3" t="str">
        <f t="shared" si="24"/>
        <v>SELECT @GROUP_BSIT_2022_2023_GENERAL_ADDON = RequirementGroupID FROM Bellini.RequirementGroup WHERE MajorID = @MAJOR_BSIT AND CatalogID = @CATALOG_2022_2023 AND GroupCode = 'GROUP_BSIT_GENERAL_ADDON';</v>
      </c>
    </row>
    <row r="73" spans="6:20" x14ac:dyDescent="0.3">
      <c r="F73" s="3" t="s">
        <v>1198</v>
      </c>
      <c r="G73" s="3" t="str">
        <f t="shared" si="15"/>
        <v>2022_2023</v>
      </c>
      <c r="H73" s="1" t="s">
        <v>1037</v>
      </c>
      <c r="I73" s="3" t="str">
        <f t="shared" si="16"/>
        <v>ELECTIVES</v>
      </c>
      <c r="J73" s="3">
        <f t="shared" si="17"/>
        <v>5</v>
      </c>
      <c r="L73" s="3" t="str">
        <f t="shared" si="18"/>
        <v xml:space="preserve">    (@MAJOR_BSIT, @CATALOG_2022_2023, 'GROUP_BSIT_ELECTIVES', 'BSIT BSIT 2022 Electives', 5),</v>
      </c>
      <c r="N73" s="3" t="str">
        <f t="shared" si="19"/>
        <v xml:space="preserve">    @GROUP_BSIT_2022_2023_ELECTIVES INT,</v>
      </c>
      <c r="O73" s="3" t="str">
        <f t="shared" si="20"/>
        <v xml:space="preserve">    @GROUP_BSIT_2022_2023_ELECTIVES</v>
      </c>
      <c r="P73" s="3">
        <f t="shared" si="21"/>
        <v>38</v>
      </c>
      <c r="Q73" s="3">
        <f t="shared" si="22"/>
        <v>62</v>
      </c>
      <c r="R73" s="3" t="str">
        <f t="shared" si="23"/>
        <v>'GROUP_BSIT_ELECTIVES'</v>
      </c>
      <c r="T73" s="3" t="str">
        <f t="shared" si="24"/>
        <v>SELECT @GROUP_BSIT_2022_2023_ELECTIVES = RequirementGroupID FROM Bellini.RequirementGroup WHERE MajorID = @MAJOR_BSIT AND CatalogID = @CATALOG_2022_2023 AND GroupCode = 'GROUP_BSIT_ELECTIVES';</v>
      </c>
    </row>
    <row r="75" spans="6:20" x14ac:dyDescent="0.3">
      <c r="F75" s="3" t="s">
        <v>1198</v>
      </c>
      <c r="G75" s="3" t="str">
        <f>"2023_2024"</f>
        <v>2023_2024</v>
      </c>
      <c r="H75" s="3" t="s">
        <v>1174</v>
      </c>
      <c r="I75" s="3" t="str">
        <f t="shared" si="16"/>
        <v>GECH</v>
      </c>
      <c r="J75" s="3">
        <f t="shared" si="17"/>
        <v>2</v>
      </c>
      <c r="L75" s="3" t="str">
        <f t="shared" si="18"/>
        <v xml:space="preserve">    (@MAJOR_BSIT, @CATALOG_2023_2024, 'GROUP_BSIT_GECH', 'BSIT General Education Core Humanities', 2),</v>
      </c>
      <c r="N75" s="3" t="str">
        <f t="shared" si="19"/>
        <v xml:space="preserve">    @GROUP_BSIT_2023_2024_GECH INT,</v>
      </c>
      <c r="O75" s="3" t="str">
        <f t="shared" si="20"/>
        <v xml:space="preserve">    @GROUP_BSIT_2023_2024_GECH</v>
      </c>
      <c r="P75" s="3">
        <f t="shared" si="21"/>
        <v>38</v>
      </c>
      <c r="Q75" s="3">
        <f t="shared" si="22"/>
        <v>57</v>
      </c>
      <c r="R75" s="3" t="str">
        <f t="shared" si="23"/>
        <v>'GROUP_BSIT_GECH'</v>
      </c>
      <c r="T75" s="3" t="str">
        <f t="shared" si="24"/>
        <v>SELECT @GROUP_BSIT_2023_2024_GECH = RequirementGroupID FROM Bellini.RequirementGroup WHERE MajorID = @MAJOR_BSIT AND CatalogID = @CATALOG_2023_2024 AND GroupCode = 'GROUP_BSIT_GECH';</v>
      </c>
    </row>
    <row r="76" spans="6:20" x14ac:dyDescent="0.3">
      <c r="F76" s="3" t="s">
        <v>1198</v>
      </c>
      <c r="G76" s="3" t="str">
        <f t="shared" ref="G76:G81" si="25">"2023_2024"</f>
        <v>2023_2024</v>
      </c>
      <c r="H76" s="3" t="s">
        <v>1177</v>
      </c>
      <c r="I76" s="3" t="str">
        <f t="shared" si="16"/>
        <v>GECM</v>
      </c>
      <c r="J76" s="3">
        <f t="shared" si="17"/>
        <v>2</v>
      </c>
      <c r="L76" s="3" t="str">
        <f t="shared" si="18"/>
        <v xml:space="preserve">    (@MAJOR_BSIT, @CATALOG_2023_2024, 'GROUP_BSIT_GECM', 'BSIT General Education Core Mathematics', 2),</v>
      </c>
      <c r="N76" s="3" t="str">
        <f t="shared" si="19"/>
        <v xml:space="preserve">    @GROUP_BSIT_2023_2024_GECM INT,</v>
      </c>
      <c r="O76" s="3" t="str">
        <f t="shared" si="20"/>
        <v xml:space="preserve">    @GROUP_BSIT_2023_2024_GECM</v>
      </c>
      <c r="P76" s="3">
        <f t="shared" si="21"/>
        <v>38</v>
      </c>
      <c r="Q76" s="3">
        <f t="shared" si="22"/>
        <v>57</v>
      </c>
      <c r="R76" s="3" t="str">
        <f t="shared" si="23"/>
        <v>'GROUP_BSIT_GECM'</v>
      </c>
      <c r="T76" s="3" t="str">
        <f t="shared" si="24"/>
        <v>SELECT @GROUP_BSIT_2023_2024_GECM = RequirementGroupID FROM Bellini.RequirementGroup WHERE MajorID = @MAJOR_BSIT AND CatalogID = @CATALOG_2023_2024 AND GroupCode = 'GROUP_BSIT_GECM';</v>
      </c>
    </row>
    <row r="77" spans="6:20" x14ac:dyDescent="0.3">
      <c r="F77" s="3" t="s">
        <v>1198</v>
      </c>
      <c r="G77" s="3" t="str">
        <f t="shared" si="25"/>
        <v>2023_2024</v>
      </c>
      <c r="H77" s="3" t="s">
        <v>1178</v>
      </c>
      <c r="I77" s="3" t="str">
        <f t="shared" si="16"/>
        <v>GECN</v>
      </c>
      <c r="J77" s="3">
        <f t="shared" si="17"/>
        <v>2</v>
      </c>
      <c r="L77" s="3" t="str">
        <f t="shared" si="18"/>
        <v xml:space="preserve">    (@MAJOR_BSIT, @CATALOG_2023_2024, 'GROUP_BSIT_GECN', 'BSIT General Education Core Natural Sciences Elective', 2),</v>
      </c>
      <c r="N77" s="3" t="str">
        <f t="shared" si="19"/>
        <v xml:space="preserve">    @GROUP_BSIT_2023_2024_GECN INT,</v>
      </c>
      <c r="O77" s="3" t="str">
        <f t="shared" si="20"/>
        <v xml:space="preserve">    @GROUP_BSIT_2023_2024_GECN</v>
      </c>
      <c r="P77" s="3">
        <f t="shared" si="21"/>
        <v>38</v>
      </c>
      <c r="Q77" s="3">
        <f t="shared" si="22"/>
        <v>57</v>
      </c>
      <c r="R77" s="3" t="str">
        <f t="shared" si="23"/>
        <v>'GROUP_BSIT_GECN'</v>
      </c>
      <c r="T77" s="3" t="str">
        <f t="shared" si="24"/>
        <v>SELECT @GROUP_BSIT_2023_2024_GECN = RequirementGroupID FROM Bellini.RequirementGroup WHERE MajorID = @MAJOR_BSIT AND CatalogID = @CATALOG_2023_2024 AND GroupCode = 'GROUP_BSIT_GECN';</v>
      </c>
    </row>
    <row r="78" spans="6:20" x14ac:dyDescent="0.3">
      <c r="F78" s="3" t="s">
        <v>1198</v>
      </c>
      <c r="G78" s="3" t="str">
        <f t="shared" si="25"/>
        <v>2023_2024</v>
      </c>
      <c r="H78" s="3" t="s">
        <v>1179</v>
      </c>
      <c r="I78" s="3" t="str">
        <f t="shared" si="16"/>
        <v>GECS</v>
      </c>
      <c r="J78" s="3">
        <f t="shared" si="17"/>
        <v>2</v>
      </c>
      <c r="L78" s="3" t="str">
        <f t="shared" si="18"/>
        <v xml:space="preserve">    (@MAJOR_BSIT, @CATALOG_2023_2024, 'GROUP_BSIT_GECS', 'BSIT General Education Core Social Sciences', 2),</v>
      </c>
      <c r="N78" s="3" t="str">
        <f t="shared" si="19"/>
        <v xml:space="preserve">    @GROUP_BSIT_2023_2024_GECS INT,</v>
      </c>
      <c r="O78" s="3" t="str">
        <f t="shared" si="20"/>
        <v xml:space="preserve">    @GROUP_BSIT_2023_2024_GECS</v>
      </c>
      <c r="P78" s="3">
        <f t="shared" si="21"/>
        <v>38</v>
      </c>
      <c r="Q78" s="3">
        <f t="shared" si="22"/>
        <v>57</v>
      </c>
      <c r="R78" s="3" t="str">
        <f t="shared" si="23"/>
        <v>'GROUP_BSIT_GECS'</v>
      </c>
      <c r="T78" s="3" t="str">
        <f t="shared" si="24"/>
        <v>SELECT @GROUP_BSIT_2023_2024_GECS = RequirementGroupID FROM Bellini.RequirementGroup WHERE MajorID = @MAJOR_BSIT AND CatalogID = @CATALOG_2023_2024 AND GroupCode = 'GROUP_BSIT_GECS';</v>
      </c>
    </row>
    <row r="79" spans="6:20" x14ac:dyDescent="0.3">
      <c r="F79" s="3" t="s">
        <v>1198</v>
      </c>
      <c r="G79" s="3" t="str">
        <f t="shared" si="25"/>
        <v>2023_2024</v>
      </c>
      <c r="H79" s="1" t="s">
        <v>1046</v>
      </c>
      <c r="I79" s="3" t="str">
        <f t="shared" si="16"/>
        <v>GENERAL</v>
      </c>
      <c r="J79" s="3">
        <f t="shared" si="17"/>
        <v>28</v>
      </c>
      <c r="L79" s="3" t="str">
        <f t="shared" si="18"/>
        <v xml:space="preserve">    (@MAJOR_BSIT, @CATALOG_2023_2024, 'GROUP_BSIT_GENERAL', 'BSIT BSIT General', 28),</v>
      </c>
      <c r="N79" s="3" t="str">
        <f t="shared" si="19"/>
        <v xml:space="preserve">    @GROUP_BSIT_2023_2024_GENERAL INT,</v>
      </c>
      <c r="O79" s="3" t="str">
        <f t="shared" si="20"/>
        <v xml:space="preserve">    @GROUP_BSIT_2023_2024_GENERAL</v>
      </c>
      <c r="P79" s="3">
        <f t="shared" si="21"/>
        <v>38</v>
      </c>
      <c r="Q79" s="3">
        <f t="shared" si="22"/>
        <v>60</v>
      </c>
      <c r="R79" s="3" t="str">
        <f t="shared" si="23"/>
        <v>'GROUP_BSIT_GENERAL'</v>
      </c>
      <c r="T79" s="3" t="str">
        <f t="shared" si="24"/>
        <v>SELECT @GROUP_BSIT_2023_2024_GENERAL = RequirementGroupID FROM Bellini.RequirementGroup WHERE MajorID = @MAJOR_BSIT AND CatalogID = @CATALOG_2023_2024 AND GroupCode = 'GROUP_BSIT_GENERAL';</v>
      </c>
    </row>
    <row r="80" spans="6:20" x14ac:dyDescent="0.3">
      <c r="F80" s="3" t="s">
        <v>1198</v>
      </c>
      <c r="G80" s="3" t="str">
        <f t="shared" si="25"/>
        <v>2023_2024</v>
      </c>
      <c r="H80" s="3" t="s">
        <v>1048</v>
      </c>
      <c r="I80" s="3" t="str">
        <f t="shared" si="16"/>
        <v>GENERAL_ADDON</v>
      </c>
      <c r="J80" s="3">
        <f t="shared" si="17"/>
        <v>1</v>
      </c>
      <c r="L80" s="3" t="str">
        <f t="shared" si="18"/>
        <v xml:space="preserve">    (@MAJOR_BSIT, @CATALOG_2023_2024, 'GROUP_BSIT_GENERAL_ADDON', 'BSIT BSIT 2023 General Add-On', 1),</v>
      </c>
      <c r="N80" s="3" t="str">
        <f t="shared" si="19"/>
        <v xml:space="preserve">    @GROUP_BSIT_2023_2024_GENERAL_ADDON INT,</v>
      </c>
      <c r="O80" s="3" t="str">
        <f t="shared" si="20"/>
        <v xml:space="preserve">    @GROUP_BSIT_2023_2024_GENERAL_ADDON</v>
      </c>
      <c r="P80" s="3">
        <f t="shared" si="21"/>
        <v>38</v>
      </c>
      <c r="Q80" s="3">
        <f t="shared" si="22"/>
        <v>66</v>
      </c>
      <c r="R80" s="3" t="str">
        <f t="shared" si="23"/>
        <v>'GROUP_BSIT_GENERAL_ADDON'</v>
      </c>
      <c r="T80" s="3" t="str">
        <f t="shared" si="24"/>
        <v>SELECT @GROUP_BSIT_2023_2024_GENERAL_ADDON = RequirementGroupID FROM Bellini.RequirementGroup WHERE MajorID = @MAJOR_BSIT AND CatalogID = @CATALOG_2023_2024 AND GroupCode = 'GROUP_BSIT_GENERAL_ADDON';</v>
      </c>
    </row>
    <row r="81" spans="6:20" x14ac:dyDescent="0.3">
      <c r="F81" s="3" t="s">
        <v>1198</v>
      </c>
      <c r="G81" s="3" t="str">
        <f t="shared" si="25"/>
        <v>2023_2024</v>
      </c>
      <c r="H81" s="1" t="s">
        <v>1044</v>
      </c>
      <c r="I81" s="3" t="str">
        <f t="shared" si="16"/>
        <v>ELECTIVES</v>
      </c>
      <c r="J81" s="3">
        <f t="shared" si="17"/>
        <v>5</v>
      </c>
      <c r="L81" s="3" t="str">
        <f t="shared" si="18"/>
        <v xml:space="preserve">    (@MAJOR_BSIT, @CATALOG_2023_2024, 'GROUP_BSIT_ELECTIVES', 'BSIT BSIT 2023 Electives', 5),</v>
      </c>
      <c r="N81" s="3" t="str">
        <f t="shared" si="19"/>
        <v xml:space="preserve">    @GROUP_BSIT_2023_2024_ELECTIVES INT,</v>
      </c>
      <c r="O81" s="3" t="str">
        <f t="shared" si="20"/>
        <v xml:space="preserve">    @GROUP_BSIT_2023_2024_ELECTIVES</v>
      </c>
      <c r="P81" s="3">
        <f t="shared" si="21"/>
        <v>38</v>
      </c>
      <c r="Q81" s="3">
        <f t="shared" si="22"/>
        <v>62</v>
      </c>
      <c r="R81" s="3" t="str">
        <f t="shared" si="23"/>
        <v>'GROUP_BSIT_ELECTIVES'</v>
      </c>
      <c r="T81" s="3" t="str">
        <f t="shared" si="24"/>
        <v>SELECT @GROUP_BSIT_2023_2024_ELECTIVES = RequirementGroupID FROM Bellini.RequirementGroup WHERE MajorID = @MAJOR_BSIT AND CatalogID = @CATALOG_2023_2024 AND GroupCode = 'GROUP_BSIT_ELECTIVES';</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F8E59-D44C-410A-BC1E-70D311244D2F}">
  <dimension ref="A1:G85"/>
  <sheetViews>
    <sheetView topLeftCell="A22" zoomScaleNormal="100" workbookViewId="0">
      <selection activeCell="B8" sqref="B8:B41"/>
    </sheetView>
  </sheetViews>
  <sheetFormatPr defaultRowHeight="14.4" x14ac:dyDescent="0.3"/>
  <cols>
    <col min="1" max="1" width="15.6640625" style="1" bestFit="1" customWidth="1"/>
    <col min="2" max="2" width="10.21875" style="1" bestFit="1" customWidth="1"/>
    <col min="3" max="5" width="8.88671875" style="1"/>
    <col min="6" max="6" width="18.33203125" style="1" bestFit="1" customWidth="1"/>
    <col min="7" max="16384" width="8.88671875" style="1"/>
  </cols>
  <sheetData>
    <row r="1" spans="1:7" x14ac:dyDescent="0.3">
      <c r="A1" s="1" t="s">
        <v>601</v>
      </c>
      <c r="B1" s="1" t="s">
        <v>602</v>
      </c>
      <c r="F1" s="1" t="s">
        <v>705</v>
      </c>
      <c r="G1" s="1" t="s">
        <v>706</v>
      </c>
    </row>
    <row r="2" spans="1:7" x14ac:dyDescent="0.3">
      <c r="A2" s="1" t="s">
        <v>603</v>
      </c>
      <c r="B2" s="1" t="s">
        <v>406</v>
      </c>
      <c r="C2" s="1" t="s">
        <v>407</v>
      </c>
      <c r="F2" s="1" t="s">
        <v>707</v>
      </c>
      <c r="G2" s="1" t="s">
        <v>709</v>
      </c>
    </row>
    <row r="3" spans="1:7" x14ac:dyDescent="0.3">
      <c r="A3" s="1" t="s">
        <v>703</v>
      </c>
      <c r="B3" s="1" t="s">
        <v>610</v>
      </c>
      <c r="C3" s="1" t="s">
        <v>611</v>
      </c>
      <c r="G3" s="1" t="s">
        <v>711</v>
      </c>
    </row>
    <row r="4" spans="1:7" x14ac:dyDescent="0.3">
      <c r="B4" s="1" t="s">
        <v>511</v>
      </c>
      <c r="C4" s="1" t="s">
        <v>604</v>
      </c>
      <c r="G4" s="1" t="s">
        <v>713</v>
      </c>
    </row>
    <row r="5" spans="1:7" x14ac:dyDescent="0.3">
      <c r="B5" s="1" t="s">
        <v>532</v>
      </c>
      <c r="C5" s="1" t="s">
        <v>605</v>
      </c>
      <c r="G5" s="1" t="s">
        <v>712</v>
      </c>
    </row>
    <row r="6" spans="1:7" x14ac:dyDescent="0.3">
      <c r="B6" s="1" t="s">
        <v>606</v>
      </c>
      <c r="C6" s="1" t="s">
        <v>607</v>
      </c>
      <c r="G6" s="1" t="s">
        <v>710</v>
      </c>
    </row>
    <row r="7" spans="1:7" x14ac:dyDescent="0.3">
      <c r="B7" s="1" t="s">
        <v>608</v>
      </c>
      <c r="C7" s="1" t="s">
        <v>609</v>
      </c>
      <c r="G7" s="1" t="s">
        <v>708</v>
      </c>
    </row>
    <row r="8" spans="1:7" x14ac:dyDescent="0.3">
      <c r="B8" s="1" t="s">
        <v>583</v>
      </c>
      <c r="G8" s="1" t="s">
        <v>714</v>
      </c>
    </row>
    <row r="9" spans="1:7" x14ac:dyDescent="0.3">
      <c r="B9" s="1" t="s">
        <v>579</v>
      </c>
    </row>
    <row r="10" spans="1:7" x14ac:dyDescent="0.3">
      <c r="B10" s="1" t="s">
        <v>584</v>
      </c>
      <c r="F10" s="1" t="s">
        <v>715</v>
      </c>
      <c r="G10" s="1" t="s">
        <v>719</v>
      </c>
    </row>
    <row r="11" spans="1:7" x14ac:dyDescent="0.3">
      <c r="B11" s="1" t="s">
        <v>580</v>
      </c>
      <c r="G11" s="1" t="s">
        <v>717</v>
      </c>
    </row>
    <row r="12" spans="1:7" x14ac:dyDescent="0.3">
      <c r="G12" s="1" t="s">
        <v>716</v>
      </c>
    </row>
    <row r="13" spans="1:7" x14ac:dyDescent="0.3">
      <c r="A13" s="1" t="s">
        <v>612</v>
      </c>
      <c r="B13" s="1" t="s">
        <v>619</v>
      </c>
      <c r="G13" s="1" t="s">
        <v>718</v>
      </c>
    </row>
    <row r="14" spans="1:7" x14ac:dyDescent="0.3">
      <c r="A14" s="1" t="s">
        <v>663</v>
      </c>
      <c r="B14" s="1" t="s">
        <v>614</v>
      </c>
      <c r="G14" s="1" t="s">
        <v>720</v>
      </c>
    </row>
    <row r="15" spans="1:7" x14ac:dyDescent="0.3">
      <c r="B15" s="1" t="s">
        <v>613</v>
      </c>
      <c r="G15" s="1" t="s">
        <v>714</v>
      </c>
    </row>
    <row r="16" spans="1:7" x14ac:dyDescent="0.3">
      <c r="B16" s="1" t="s">
        <v>615</v>
      </c>
    </row>
    <row r="17" spans="1:7" x14ac:dyDescent="0.3">
      <c r="B17" s="1" t="s">
        <v>616</v>
      </c>
      <c r="F17" s="1" t="s">
        <v>721</v>
      </c>
      <c r="G17" s="1" t="s">
        <v>769</v>
      </c>
    </row>
    <row r="18" spans="1:7" x14ac:dyDescent="0.3">
      <c r="B18" s="1" t="s">
        <v>617</v>
      </c>
      <c r="G18" s="1" t="s">
        <v>758</v>
      </c>
    </row>
    <row r="19" spans="1:7" x14ac:dyDescent="0.3">
      <c r="B19" s="1" t="s">
        <v>618</v>
      </c>
    </row>
    <row r="20" spans="1:7" x14ac:dyDescent="0.3">
      <c r="F20" s="1" t="s">
        <v>722</v>
      </c>
      <c r="G20" s="1" t="s">
        <v>725</v>
      </c>
    </row>
    <row r="21" spans="1:7" x14ac:dyDescent="0.3">
      <c r="A21" s="1" t="s">
        <v>620</v>
      </c>
      <c r="B21" s="1" t="s">
        <v>484</v>
      </c>
      <c r="G21" s="1" t="s">
        <v>726</v>
      </c>
    </row>
    <row r="22" spans="1:7" x14ac:dyDescent="0.3">
      <c r="A22" s="1" t="s">
        <v>704</v>
      </c>
      <c r="B22" s="1" t="s">
        <v>374</v>
      </c>
      <c r="G22" s="1" t="s">
        <v>723</v>
      </c>
    </row>
    <row r="23" spans="1:7" x14ac:dyDescent="0.3">
      <c r="B23" s="1" t="s">
        <v>390</v>
      </c>
      <c r="G23" s="1" t="s">
        <v>724</v>
      </c>
    </row>
    <row r="24" spans="1:7" x14ac:dyDescent="0.3">
      <c r="B24" s="1" t="s">
        <v>392</v>
      </c>
      <c r="G24" s="1" t="s">
        <v>727</v>
      </c>
    </row>
    <row r="25" spans="1:7" x14ac:dyDescent="0.3">
      <c r="B25" s="1" t="s">
        <v>621</v>
      </c>
      <c r="G25" s="1" t="s">
        <v>714</v>
      </c>
    </row>
    <row r="26" spans="1:7" x14ac:dyDescent="0.3">
      <c r="B26" s="1" t="s">
        <v>393</v>
      </c>
    </row>
    <row r="27" spans="1:7" x14ac:dyDescent="0.3">
      <c r="B27" s="1" t="s">
        <v>622</v>
      </c>
      <c r="F27" s="1" t="s">
        <v>728</v>
      </c>
      <c r="G27" s="1" t="s">
        <v>729</v>
      </c>
    </row>
    <row r="28" spans="1:7" x14ac:dyDescent="0.3">
      <c r="B28" s="1" t="s">
        <v>394</v>
      </c>
      <c r="G28" s="1" t="s">
        <v>730</v>
      </c>
    </row>
    <row r="29" spans="1:7" x14ac:dyDescent="0.3">
      <c r="B29" s="1" t="s">
        <v>623</v>
      </c>
      <c r="G29" s="1" t="s">
        <v>734</v>
      </c>
    </row>
    <row r="30" spans="1:7" x14ac:dyDescent="0.3">
      <c r="B30" s="1" t="s">
        <v>625</v>
      </c>
      <c r="G30" s="1" t="s">
        <v>732</v>
      </c>
    </row>
    <row r="31" spans="1:7" x14ac:dyDescent="0.3">
      <c r="B31" s="1" t="s">
        <v>626</v>
      </c>
      <c r="G31" s="1" t="s">
        <v>733</v>
      </c>
    </row>
    <row r="32" spans="1:7" x14ac:dyDescent="0.3">
      <c r="B32" s="1" t="s">
        <v>387</v>
      </c>
      <c r="G32" s="1" t="s">
        <v>731</v>
      </c>
    </row>
    <row r="33" spans="1:7" x14ac:dyDescent="0.3">
      <c r="B33" s="1" t="s">
        <v>365</v>
      </c>
      <c r="G33" s="1" t="s">
        <v>735</v>
      </c>
    </row>
    <row r="34" spans="1:7" x14ac:dyDescent="0.3">
      <c r="B34" s="1" t="s">
        <v>366</v>
      </c>
    </row>
    <row r="35" spans="1:7" x14ac:dyDescent="0.3">
      <c r="B35" s="1" t="s">
        <v>449</v>
      </c>
      <c r="F35" s="1" t="s">
        <v>736</v>
      </c>
      <c r="G35" s="1" t="s">
        <v>739</v>
      </c>
    </row>
    <row r="36" spans="1:7" x14ac:dyDescent="0.3">
      <c r="B36" s="1" t="s">
        <v>471</v>
      </c>
      <c r="G36" s="1" t="s">
        <v>738</v>
      </c>
    </row>
    <row r="37" spans="1:7" x14ac:dyDescent="0.3">
      <c r="B37" s="1" t="s">
        <v>624</v>
      </c>
      <c r="G37" s="1" t="s">
        <v>737</v>
      </c>
    </row>
    <row r="38" spans="1:7" x14ac:dyDescent="0.3">
      <c r="G38" s="1" t="s">
        <v>740</v>
      </c>
    </row>
    <row r="39" spans="1:7" x14ac:dyDescent="0.3">
      <c r="A39" s="1" t="s">
        <v>627</v>
      </c>
      <c r="B39" s="1" t="s">
        <v>7</v>
      </c>
    </row>
    <row r="40" spans="1:7" x14ac:dyDescent="0.3">
      <c r="A40" s="1" t="s">
        <v>664</v>
      </c>
      <c r="B40" s="1" t="s">
        <v>538</v>
      </c>
      <c r="F40" s="1" t="s">
        <v>741</v>
      </c>
      <c r="G40" s="1" t="s">
        <v>742</v>
      </c>
    </row>
    <row r="41" spans="1:7" x14ac:dyDescent="0.3">
      <c r="B41" s="1" t="s">
        <v>628</v>
      </c>
      <c r="G41" s="1" t="s">
        <v>743</v>
      </c>
    </row>
    <row r="42" spans="1:7" x14ac:dyDescent="0.3">
      <c r="G42" s="1" t="s">
        <v>744</v>
      </c>
    </row>
    <row r="43" spans="1:7" x14ac:dyDescent="0.3">
      <c r="A43" s="1" t="s">
        <v>649</v>
      </c>
      <c r="B43" s="1" t="s">
        <v>650</v>
      </c>
      <c r="G43" s="1" t="s">
        <v>745</v>
      </c>
    </row>
    <row r="44" spans="1:7" x14ac:dyDescent="0.3">
      <c r="A44" s="1" t="s">
        <v>821</v>
      </c>
      <c r="B44" s="1" t="s">
        <v>651</v>
      </c>
      <c r="G44" s="1" t="s">
        <v>747</v>
      </c>
    </row>
    <row r="45" spans="1:7" x14ac:dyDescent="0.3">
      <c r="B45" s="1" t="s">
        <v>652</v>
      </c>
      <c r="G45" s="1" t="s">
        <v>746</v>
      </c>
    </row>
    <row r="46" spans="1:7" x14ac:dyDescent="0.3">
      <c r="G46" s="1" t="s">
        <v>748</v>
      </c>
    </row>
    <row r="47" spans="1:7" x14ac:dyDescent="0.3">
      <c r="A47" s="1" t="s">
        <v>683</v>
      </c>
      <c r="B47" s="1" t="s">
        <v>630</v>
      </c>
    </row>
    <row r="48" spans="1:7" x14ac:dyDescent="0.3">
      <c r="A48" s="1" t="s">
        <v>821</v>
      </c>
      <c r="B48" s="1" t="s">
        <v>631</v>
      </c>
      <c r="F48" s="1" t="s">
        <v>749</v>
      </c>
      <c r="G48" s="1" t="s">
        <v>750</v>
      </c>
    </row>
    <row r="49" spans="2:7" x14ac:dyDescent="0.3">
      <c r="B49" s="1" t="s">
        <v>632</v>
      </c>
      <c r="G49" s="1" t="s">
        <v>751</v>
      </c>
    </row>
    <row r="50" spans="2:7" x14ac:dyDescent="0.3">
      <c r="B50" s="1" t="s">
        <v>633</v>
      </c>
      <c r="G50" s="1" t="s">
        <v>752</v>
      </c>
    </row>
    <row r="51" spans="2:7" x14ac:dyDescent="0.3">
      <c r="B51" s="1" t="s">
        <v>634</v>
      </c>
      <c r="G51" s="1" t="s">
        <v>753</v>
      </c>
    </row>
    <row r="52" spans="2:7" x14ac:dyDescent="0.3">
      <c r="B52" s="1" t="s">
        <v>635</v>
      </c>
      <c r="G52" s="1" t="s">
        <v>754</v>
      </c>
    </row>
    <row r="53" spans="2:7" x14ac:dyDescent="0.3">
      <c r="B53" s="1" t="s">
        <v>650</v>
      </c>
      <c r="G53" s="1" t="s">
        <v>755</v>
      </c>
    </row>
    <row r="54" spans="2:7" x14ac:dyDescent="0.3">
      <c r="B54" s="1" t="s">
        <v>651</v>
      </c>
    </row>
    <row r="55" spans="2:7" x14ac:dyDescent="0.3">
      <c r="B55" s="1" t="s">
        <v>652</v>
      </c>
      <c r="F55" s="1" t="s">
        <v>756</v>
      </c>
      <c r="G55" s="1" t="s">
        <v>757</v>
      </c>
    </row>
    <row r="56" spans="2:7" x14ac:dyDescent="0.3">
      <c r="B56" s="1" t="s">
        <v>636</v>
      </c>
      <c r="G56" s="1" t="s">
        <v>758</v>
      </c>
    </row>
    <row r="57" spans="2:7" x14ac:dyDescent="0.3">
      <c r="B57" s="1" t="s">
        <v>637</v>
      </c>
    </row>
    <row r="58" spans="2:7" x14ac:dyDescent="0.3">
      <c r="B58" s="1" t="s">
        <v>655</v>
      </c>
      <c r="F58" s="1" t="s">
        <v>759</v>
      </c>
      <c r="G58" s="1" t="s">
        <v>760</v>
      </c>
    </row>
    <row r="59" spans="2:7" x14ac:dyDescent="0.3">
      <c r="B59" s="1" t="s">
        <v>656</v>
      </c>
      <c r="G59" s="1" t="s">
        <v>761</v>
      </c>
    </row>
    <row r="60" spans="2:7" x14ac:dyDescent="0.3">
      <c r="B60" s="1" t="s">
        <v>638</v>
      </c>
      <c r="G60" s="1" t="s">
        <v>762</v>
      </c>
    </row>
    <row r="61" spans="2:7" x14ac:dyDescent="0.3">
      <c r="B61" s="1" t="s">
        <v>657</v>
      </c>
      <c r="G61" s="1" t="s">
        <v>764</v>
      </c>
    </row>
    <row r="62" spans="2:7" x14ac:dyDescent="0.3">
      <c r="B62" s="1" t="s">
        <v>658</v>
      </c>
      <c r="G62" s="1" t="s">
        <v>763</v>
      </c>
    </row>
    <row r="63" spans="2:7" x14ac:dyDescent="0.3">
      <c r="B63" s="1" t="s">
        <v>659</v>
      </c>
      <c r="G63" s="1" t="s">
        <v>755</v>
      </c>
    </row>
    <row r="64" spans="2:7" x14ac:dyDescent="0.3">
      <c r="B64" s="1" t="s">
        <v>660</v>
      </c>
    </row>
    <row r="65" spans="1:7" x14ac:dyDescent="0.3">
      <c r="B65" s="1" t="s">
        <v>639</v>
      </c>
      <c r="F65" s="1" t="s">
        <v>765</v>
      </c>
      <c r="G65" s="1" t="s">
        <v>766</v>
      </c>
    </row>
    <row r="66" spans="1:7" x14ac:dyDescent="0.3">
      <c r="B66" s="1" t="s">
        <v>640</v>
      </c>
      <c r="G66" s="1" t="s">
        <v>767</v>
      </c>
    </row>
    <row r="67" spans="1:7" x14ac:dyDescent="0.3">
      <c r="B67" s="1" t="s">
        <v>641</v>
      </c>
      <c r="G67" s="1" t="s">
        <v>764</v>
      </c>
    </row>
    <row r="68" spans="1:7" x14ac:dyDescent="0.3">
      <c r="B68" s="1" t="s">
        <v>642</v>
      </c>
      <c r="G68" s="1" t="s">
        <v>753</v>
      </c>
    </row>
    <row r="69" spans="1:7" x14ac:dyDescent="0.3">
      <c r="B69" s="1" t="s">
        <v>643</v>
      </c>
      <c r="G69" s="1" t="s">
        <v>768</v>
      </c>
    </row>
    <row r="70" spans="1:7" x14ac:dyDescent="0.3">
      <c r="B70" s="1" t="s">
        <v>644</v>
      </c>
    </row>
    <row r="71" spans="1:7" x14ac:dyDescent="0.3">
      <c r="B71" s="1" t="s">
        <v>645</v>
      </c>
    </row>
    <row r="72" spans="1:7" x14ac:dyDescent="0.3">
      <c r="B72" s="1" t="s">
        <v>646</v>
      </c>
    </row>
    <row r="73" spans="1:7" x14ac:dyDescent="0.3">
      <c r="B73" s="1" t="s">
        <v>647</v>
      </c>
    </row>
    <row r="74" spans="1:7" x14ac:dyDescent="0.3">
      <c r="B74" s="1" t="s">
        <v>648</v>
      </c>
    </row>
    <row r="75" spans="1:7" x14ac:dyDescent="0.3">
      <c r="B75" s="1" t="s">
        <v>653</v>
      </c>
    </row>
    <row r="76" spans="1:7" x14ac:dyDescent="0.3">
      <c r="B76" s="1" t="s">
        <v>654</v>
      </c>
    </row>
    <row r="78" spans="1:7" x14ac:dyDescent="0.3">
      <c r="A78" s="1" t="s">
        <v>1023</v>
      </c>
    </row>
    <row r="79" spans="1:7" x14ac:dyDescent="0.3">
      <c r="A79" s="1" t="s">
        <v>1024</v>
      </c>
    </row>
    <row r="80" spans="1:7" x14ac:dyDescent="0.3">
      <c r="A80" s="1" t="s">
        <v>1025</v>
      </c>
    </row>
    <row r="81" spans="1:1" x14ac:dyDescent="0.3">
      <c r="A81" s="1" t="s">
        <v>1026</v>
      </c>
    </row>
    <row r="82" spans="1:1" x14ac:dyDescent="0.3">
      <c r="A82" s="1" t="s">
        <v>1027</v>
      </c>
    </row>
    <row r="83" spans="1:1" x14ac:dyDescent="0.3">
      <c r="A83" s="1" t="s">
        <v>1020</v>
      </c>
    </row>
    <row r="84" spans="1:1" x14ac:dyDescent="0.3">
      <c r="A84" s="1" t="s">
        <v>1021</v>
      </c>
    </row>
    <row r="85" spans="1:1" x14ac:dyDescent="0.3">
      <c r="A85" s="1" t="s">
        <v>1022</v>
      </c>
    </row>
  </sheetData>
  <sortState xmlns:xlrd2="http://schemas.microsoft.com/office/spreadsheetml/2017/richdata2" ref="B47:B76">
    <sortCondition ref="B47:B76"/>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18AE-252E-4E20-98DB-950F8C1676D4}">
  <dimension ref="A1:G76"/>
  <sheetViews>
    <sheetView topLeftCell="A13" workbookViewId="0">
      <selection activeCell="B5" sqref="B5:B32"/>
    </sheetView>
  </sheetViews>
  <sheetFormatPr defaultRowHeight="14.4" x14ac:dyDescent="0.3"/>
  <cols>
    <col min="1" max="1" width="16.5546875" style="1" bestFit="1" customWidth="1"/>
    <col min="2" max="2" width="10.21875" style="1" bestFit="1" customWidth="1"/>
    <col min="3" max="3" width="9.77734375" style="1" bestFit="1" customWidth="1"/>
    <col min="4" max="5" width="8.88671875" style="1"/>
    <col min="6" max="6" width="23.33203125" style="1" bestFit="1" customWidth="1"/>
    <col min="7" max="16384" width="8.88671875" style="1"/>
  </cols>
  <sheetData>
    <row r="1" spans="1:7" x14ac:dyDescent="0.3">
      <c r="A1" s="1" t="s">
        <v>601</v>
      </c>
      <c r="B1" s="1" t="s">
        <v>602</v>
      </c>
      <c r="F1" s="1" t="s">
        <v>705</v>
      </c>
      <c r="G1" s="1" t="s">
        <v>706</v>
      </c>
    </row>
    <row r="2" spans="1:7" x14ac:dyDescent="0.3">
      <c r="A2" s="1" t="s">
        <v>603</v>
      </c>
      <c r="B2" s="1" t="s">
        <v>511</v>
      </c>
      <c r="C2" s="1" t="s">
        <v>604</v>
      </c>
      <c r="F2" s="1" t="s">
        <v>770</v>
      </c>
      <c r="G2" s="1" t="s">
        <v>713</v>
      </c>
    </row>
    <row r="3" spans="1:7" x14ac:dyDescent="0.3">
      <c r="A3" s="1" t="s">
        <v>663</v>
      </c>
      <c r="B3" s="1" t="s">
        <v>532</v>
      </c>
      <c r="C3" s="1" t="s">
        <v>605</v>
      </c>
      <c r="G3" s="1" t="s">
        <v>771</v>
      </c>
    </row>
    <row r="4" spans="1:7" x14ac:dyDescent="0.3">
      <c r="B4" s="1" t="s">
        <v>606</v>
      </c>
      <c r="C4" s="1" t="s">
        <v>607</v>
      </c>
      <c r="G4" s="1" t="s">
        <v>710</v>
      </c>
    </row>
    <row r="5" spans="1:7" x14ac:dyDescent="0.3">
      <c r="B5" s="1" t="s">
        <v>583</v>
      </c>
      <c r="G5" s="1" t="s">
        <v>708</v>
      </c>
    </row>
    <row r="6" spans="1:7" x14ac:dyDescent="0.3">
      <c r="B6" s="1" t="s">
        <v>579</v>
      </c>
      <c r="G6" s="1" t="s">
        <v>738</v>
      </c>
    </row>
    <row r="7" spans="1:7" x14ac:dyDescent="0.3">
      <c r="B7" s="1" t="s">
        <v>584</v>
      </c>
      <c r="G7" s="1" t="s">
        <v>755</v>
      </c>
    </row>
    <row r="8" spans="1:7" x14ac:dyDescent="0.3">
      <c r="B8" s="1" t="s">
        <v>580</v>
      </c>
    </row>
    <row r="9" spans="1:7" x14ac:dyDescent="0.3">
      <c r="F9" s="1" t="s">
        <v>715</v>
      </c>
      <c r="G9" s="1" t="s">
        <v>719</v>
      </c>
    </row>
    <row r="10" spans="1:7" x14ac:dyDescent="0.3">
      <c r="A10" s="1" t="s">
        <v>612</v>
      </c>
      <c r="B10" s="1" t="s">
        <v>614</v>
      </c>
      <c r="G10" s="1" t="s">
        <v>717</v>
      </c>
    </row>
    <row r="11" spans="1:7" x14ac:dyDescent="0.3">
      <c r="A11" s="1" t="s">
        <v>662</v>
      </c>
      <c r="B11" s="1" t="s">
        <v>613</v>
      </c>
      <c r="G11" s="1" t="s">
        <v>716</v>
      </c>
    </row>
    <row r="12" spans="1:7" x14ac:dyDescent="0.3">
      <c r="B12" s="1" t="s">
        <v>616</v>
      </c>
      <c r="G12" s="1" t="s">
        <v>718</v>
      </c>
    </row>
    <row r="13" spans="1:7" x14ac:dyDescent="0.3">
      <c r="B13" s="1" t="s">
        <v>618</v>
      </c>
      <c r="G13" s="1" t="s">
        <v>720</v>
      </c>
    </row>
    <row r="14" spans="1:7" x14ac:dyDescent="0.3">
      <c r="G14" s="1" t="s">
        <v>714</v>
      </c>
    </row>
    <row r="15" spans="1:7" x14ac:dyDescent="0.3">
      <c r="A15" s="1" t="s">
        <v>620</v>
      </c>
      <c r="B15" s="1" t="s">
        <v>484</v>
      </c>
    </row>
    <row r="16" spans="1:7" x14ac:dyDescent="0.3">
      <c r="A16" s="1" t="s">
        <v>661</v>
      </c>
      <c r="B16" s="1" t="s">
        <v>374</v>
      </c>
      <c r="F16" s="1" t="s">
        <v>721</v>
      </c>
      <c r="G16" s="1" t="s">
        <v>769</v>
      </c>
    </row>
    <row r="17" spans="1:7" x14ac:dyDescent="0.3">
      <c r="B17" s="1" t="s">
        <v>390</v>
      </c>
      <c r="G17" s="1" t="s">
        <v>758</v>
      </c>
    </row>
    <row r="18" spans="1:7" x14ac:dyDescent="0.3">
      <c r="B18" s="1" t="s">
        <v>393</v>
      </c>
    </row>
    <row r="19" spans="1:7" x14ac:dyDescent="0.3">
      <c r="B19" s="1" t="s">
        <v>622</v>
      </c>
      <c r="F19" s="1" t="s">
        <v>722</v>
      </c>
      <c r="G19" s="1" t="s">
        <v>725</v>
      </c>
    </row>
    <row r="20" spans="1:7" x14ac:dyDescent="0.3">
      <c r="B20" s="1" t="s">
        <v>636</v>
      </c>
      <c r="G20" s="1" t="s">
        <v>726</v>
      </c>
    </row>
    <row r="21" spans="1:7" x14ac:dyDescent="0.3">
      <c r="B21" s="1" t="s">
        <v>625</v>
      </c>
      <c r="G21" s="1" t="s">
        <v>723</v>
      </c>
    </row>
    <row r="22" spans="1:7" x14ac:dyDescent="0.3">
      <c r="B22" s="1" t="s">
        <v>641</v>
      </c>
      <c r="G22" s="1" t="s">
        <v>724</v>
      </c>
    </row>
    <row r="23" spans="1:7" x14ac:dyDescent="0.3">
      <c r="B23" s="1" t="s">
        <v>387</v>
      </c>
      <c r="G23" s="1" t="s">
        <v>727</v>
      </c>
    </row>
    <row r="24" spans="1:7" x14ac:dyDescent="0.3">
      <c r="B24" s="1" t="s">
        <v>365</v>
      </c>
      <c r="G24" s="1" t="s">
        <v>714</v>
      </c>
    </row>
    <row r="25" spans="1:7" x14ac:dyDescent="0.3">
      <c r="B25" s="1" t="s">
        <v>366</v>
      </c>
    </row>
    <row r="26" spans="1:7" x14ac:dyDescent="0.3">
      <c r="B26" s="1" t="s">
        <v>449</v>
      </c>
      <c r="F26" s="1" t="s">
        <v>728</v>
      </c>
      <c r="G26" s="1" t="s">
        <v>729</v>
      </c>
    </row>
    <row r="27" spans="1:7" x14ac:dyDescent="0.3">
      <c r="B27" s="1" t="s">
        <v>471</v>
      </c>
      <c r="G27" s="1" t="s">
        <v>730</v>
      </c>
    </row>
    <row r="28" spans="1:7" x14ac:dyDescent="0.3">
      <c r="B28" s="1" t="s">
        <v>624</v>
      </c>
      <c r="G28" s="1" t="s">
        <v>734</v>
      </c>
    </row>
    <row r="29" spans="1:7" x14ac:dyDescent="0.3">
      <c r="G29" s="1" t="s">
        <v>732</v>
      </c>
    </row>
    <row r="30" spans="1:7" x14ac:dyDescent="0.3">
      <c r="A30" s="1" t="s">
        <v>627</v>
      </c>
      <c r="B30" s="1" t="s">
        <v>7</v>
      </c>
      <c r="G30" s="1" t="s">
        <v>731</v>
      </c>
    </row>
    <row r="31" spans="1:7" x14ac:dyDescent="0.3">
      <c r="A31" s="1" t="s">
        <v>664</v>
      </c>
      <c r="B31" s="1" t="s">
        <v>538</v>
      </c>
      <c r="G31" s="1" t="s">
        <v>755</v>
      </c>
    </row>
    <row r="32" spans="1:7" x14ac:dyDescent="0.3">
      <c r="B32" s="1" t="s">
        <v>628</v>
      </c>
    </row>
    <row r="33" spans="1:7" x14ac:dyDescent="0.3">
      <c r="F33" s="1" t="s">
        <v>736</v>
      </c>
      <c r="G33" s="1" t="s">
        <v>739</v>
      </c>
    </row>
    <row r="34" spans="1:7" x14ac:dyDescent="0.3">
      <c r="A34" s="1" t="s">
        <v>683</v>
      </c>
      <c r="B34" s="1" t="s">
        <v>630</v>
      </c>
      <c r="G34" s="1" t="s">
        <v>738</v>
      </c>
    </row>
    <row r="35" spans="1:7" x14ac:dyDescent="0.3">
      <c r="A35" s="1" t="s">
        <v>1032</v>
      </c>
      <c r="B35" s="1" t="s">
        <v>631</v>
      </c>
      <c r="G35" s="1" t="s">
        <v>737</v>
      </c>
    </row>
    <row r="36" spans="1:7" x14ac:dyDescent="0.3">
      <c r="B36" s="1" t="s">
        <v>632</v>
      </c>
      <c r="G36" s="1" t="s">
        <v>740</v>
      </c>
    </row>
    <row r="37" spans="1:7" x14ac:dyDescent="0.3">
      <c r="B37" s="1" t="s">
        <v>633</v>
      </c>
    </row>
    <row r="38" spans="1:7" x14ac:dyDescent="0.3">
      <c r="B38" s="1" t="s">
        <v>634</v>
      </c>
      <c r="F38" s="1" t="s">
        <v>741</v>
      </c>
      <c r="G38" s="1" t="s">
        <v>742</v>
      </c>
    </row>
    <row r="39" spans="1:7" x14ac:dyDescent="0.3">
      <c r="B39" s="1" t="s">
        <v>635</v>
      </c>
      <c r="G39" s="1" t="s">
        <v>743</v>
      </c>
    </row>
    <row r="40" spans="1:7" x14ac:dyDescent="0.3">
      <c r="B40" s="1" t="s">
        <v>392</v>
      </c>
      <c r="G40" s="1" t="s">
        <v>764</v>
      </c>
    </row>
    <row r="41" spans="1:7" x14ac:dyDescent="0.3">
      <c r="B41" s="1" t="s">
        <v>621</v>
      </c>
      <c r="G41" s="1" t="s">
        <v>773</v>
      </c>
    </row>
    <row r="42" spans="1:7" x14ac:dyDescent="0.3">
      <c r="B42" s="1" t="s">
        <v>394</v>
      </c>
      <c r="G42" s="1" t="s">
        <v>746</v>
      </c>
    </row>
    <row r="43" spans="1:7" x14ac:dyDescent="0.3">
      <c r="B43" s="1" t="s">
        <v>623</v>
      </c>
      <c r="G43" s="1" t="s">
        <v>772</v>
      </c>
    </row>
    <row r="44" spans="1:7" x14ac:dyDescent="0.3">
      <c r="B44" s="1" t="s">
        <v>650</v>
      </c>
      <c r="G44" s="1" t="s">
        <v>748</v>
      </c>
    </row>
    <row r="45" spans="1:7" x14ac:dyDescent="0.3">
      <c r="B45" s="1" t="s">
        <v>651</v>
      </c>
    </row>
    <row r="46" spans="1:7" x14ac:dyDescent="0.3">
      <c r="B46" s="1" t="s">
        <v>652</v>
      </c>
      <c r="F46" s="1" t="s">
        <v>749</v>
      </c>
      <c r="G46" s="1" t="s">
        <v>752</v>
      </c>
    </row>
    <row r="47" spans="1:7" x14ac:dyDescent="0.3">
      <c r="B47" s="1" t="s">
        <v>637</v>
      </c>
      <c r="G47" s="1" t="s">
        <v>764</v>
      </c>
    </row>
    <row r="48" spans="1:7" x14ac:dyDescent="0.3">
      <c r="B48" s="1" t="s">
        <v>655</v>
      </c>
      <c r="G48" s="1" t="s">
        <v>773</v>
      </c>
    </row>
    <row r="49" spans="2:7" x14ac:dyDescent="0.3">
      <c r="B49" s="1" t="s">
        <v>656</v>
      </c>
      <c r="G49" s="1" t="s">
        <v>763</v>
      </c>
    </row>
    <row r="50" spans="2:7" x14ac:dyDescent="0.3">
      <c r="B50" s="1" t="s">
        <v>638</v>
      </c>
      <c r="G50" s="1" t="s">
        <v>754</v>
      </c>
    </row>
    <row r="51" spans="2:7" x14ac:dyDescent="0.3">
      <c r="B51" s="1" t="s">
        <v>657</v>
      </c>
      <c r="G51" s="1" t="s">
        <v>748</v>
      </c>
    </row>
    <row r="52" spans="2:7" x14ac:dyDescent="0.3">
      <c r="B52" s="1" t="s">
        <v>658</v>
      </c>
    </row>
    <row r="53" spans="2:7" x14ac:dyDescent="0.3">
      <c r="B53" s="1" t="s">
        <v>626</v>
      </c>
      <c r="F53" s="1" t="s">
        <v>756</v>
      </c>
      <c r="G53" s="1" t="s">
        <v>774</v>
      </c>
    </row>
    <row r="54" spans="2:7" x14ac:dyDescent="0.3">
      <c r="B54" s="1" t="s">
        <v>659</v>
      </c>
      <c r="G54" s="1" t="s">
        <v>758</v>
      </c>
    </row>
    <row r="55" spans="2:7" x14ac:dyDescent="0.3">
      <c r="B55" s="1" t="s">
        <v>660</v>
      </c>
    </row>
    <row r="56" spans="2:7" x14ac:dyDescent="0.3">
      <c r="B56" s="1" t="s">
        <v>639</v>
      </c>
      <c r="F56" s="1" t="s">
        <v>759</v>
      </c>
      <c r="G56" s="1" t="s">
        <v>775</v>
      </c>
    </row>
    <row r="57" spans="2:7" x14ac:dyDescent="0.3">
      <c r="B57" s="1" t="s">
        <v>640</v>
      </c>
      <c r="G57" s="1" t="s">
        <v>762</v>
      </c>
    </row>
    <row r="58" spans="2:7" x14ac:dyDescent="0.3">
      <c r="B58" s="1" t="s">
        <v>642</v>
      </c>
      <c r="G58" s="1" t="s">
        <v>764</v>
      </c>
    </row>
    <row r="59" spans="2:7" x14ac:dyDescent="0.3">
      <c r="B59" s="1" t="s">
        <v>643</v>
      </c>
      <c r="G59" s="1" t="s">
        <v>776</v>
      </c>
    </row>
    <row r="60" spans="2:7" x14ac:dyDescent="0.3">
      <c r="B60" s="1" t="s">
        <v>644</v>
      </c>
      <c r="G60" s="1" t="s">
        <v>754</v>
      </c>
    </row>
    <row r="61" spans="2:7" x14ac:dyDescent="0.3">
      <c r="B61" s="1" t="s">
        <v>645</v>
      </c>
      <c r="G61" s="1" t="s">
        <v>748</v>
      </c>
    </row>
    <row r="62" spans="2:7" x14ac:dyDescent="0.3">
      <c r="B62" s="1" t="s">
        <v>646</v>
      </c>
    </row>
    <row r="63" spans="2:7" x14ac:dyDescent="0.3">
      <c r="B63" s="1" t="s">
        <v>647</v>
      </c>
      <c r="F63" s="1" t="s">
        <v>765</v>
      </c>
      <c r="G63" s="1" t="s">
        <v>777</v>
      </c>
    </row>
    <row r="64" spans="2:7" x14ac:dyDescent="0.3">
      <c r="B64" s="1" t="s">
        <v>648</v>
      </c>
      <c r="G64" s="1" t="s">
        <v>766</v>
      </c>
    </row>
    <row r="65" spans="1:7" x14ac:dyDescent="0.3">
      <c r="B65" s="1" t="s">
        <v>653</v>
      </c>
      <c r="G65" s="1" t="s">
        <v>764</v>
      </c>
    </row>
    <row r="66" spans="1:7" x14ac:dyDescent="0.3">
      <c r="B66" s="1" t="s">
        <v>654</v>
      </c>
      <c r="G66" s="1" t="s">
        <v>754</v>
      </c>
    </row>
    <row r="67" spans="1:7" x14ac:dyDescent="0.3">
      <c r="G67" s="1" t="s">
        <v>768</v>
      </c>
    </row>
    <row r="72" spans="1:7" x14ac:dyDescent="0.3">
      <c r="A72" s="1" t="s">
        <v>1023</v>
      </c>
    </row>
    <row r="73" spans="1:7" x14ac:dyDescent="0.3">
      <c r="A73" s="1" t="s">
        <v>1024</v>
      </c>
    </row>
    <row r="74" spans="1:7" x14ac:dyDescent="0.3">
      <c r="A74" s="1" t="s">
        <v>1025</v>
      </c>
    </row>
    <row r="75" spans="1:7" x14ac:dyDescent="0.3">
      <c r="A75" s="1" t="s">
        <v>1026</v>
      </c>
    </row>
    <row r="76" spans="1:7" x14ac:dyDescent="0.3">
      <c r="A76" s="1" t="s">
        <v>1022</v>
      </c>
    </row>
  </sheetData>
  <sortState xmlns:xlrd2="http://schemas.microsoft.com/office/spreadsheetml/2017/richdata2" ref="B34:B66">
    <sortCondition ref="B34:B66"/>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16D07E-DFE4-47B9-BEEF-534D664B07C7}">
  <dimension ref="A1:F69"/>
  <sheetViews>
    <sheetView topLeftCell="A22" workbookViewId="0">
      <selection activeCell="E46" sqref="E46"/>
    </sheetView>
  </sheetViews>
  <sheetFormatPr defaultRowHeight="14.4" x14ac:dyDescent="0.3"/>
  <cols>
    <col min="1" max="1" width="16.5546875" style="1" bestFit="1" customWidth="1"/>
    <col min="2" max="2" width="9.88671875" style="1" bestFit="1" customWidth="1"/>
    <col min="3" max="4" width="8.88671875" style="1"/>
    <col min="5" max="5" width="23.33203125" style="1" bestFit="1" customWidth="1"/>
    <col min="6" max="16384" width="8.88671875" style="1"/>
  </cols>
  <sheetData>
    <row r="1" spans="1:6" x14ac:dyDescent="0.3">
      <c r="A1" s="1" t="s">
        <v>601</v>
      </c>
      <c r="B1" s="1" t="s">
        <v>602</v>
      </c>
      <c r="E1" s="1" t="s">
        <v>705</v>
      </c>
      <c r="F1" s="1" t="s">
        <v>706</v>
      </c>
    </row>
    <row r="2" spans="1:6" x14ac:dyDescent="0.3">
      <c r="A2" s="1" t="s">
        <v>603</v>
      </c>
      <c r="B2" s="1" t="s">
        <v>559</v>
      </c>
      <c r="E2" s="1" t="s">
        <v>770</v>
      </c>
      <c r="F2" s="1" t="s">
        <v>778</v>
      </c>
    </row>
    <row r="3" spans="1:6" x14ac:dyDescent="0.3">
      <c r="A3" s="1" t="s">
        <v>681</v>
      </c>
      <c r="B3" s="1" t="s">
        <v>434</v>
      </c>
      <c r="F3" s="1" t="s">
        <v>713</v>
      </c>
    </row>
    <row r="4" spans="1:6" x14ac:dyDescent="0.3">
      <c r="B4" s="1" t="s">
        <v>0</v>
      </c>
      <c r="F4" s="1" t="s">
        <v>712</v>
      </c>
    </row>
    <row r="5" spans="1:6" x14ac:dyDescent="0.3">
      <c r="B5" s="1" t="s">
        <v>666</v>
      </c>
      <c r="F5" s="1" t="s">
        <v>710</v>
      </c>
    </row>
    <row r="6" spans="1:6" x14ac:dyDescent="0.3">
      <c r="B6" s="1" t="s">
        <v>665</v>
      </c>
      <c r="F6" s="1" t="s">
        <v>779</v>
      </c>
    </row>
    <row r="7" spans="1:6" x14ac:dyDescent="0.3">
      <c r="F7" s="1" t="s">
        <v>755</v>
      </c>
    </row>
    <row r="8" spans="1:6" x14ac:dyDescent="0.3">
      <c r="A8" s="1" t="s">
        <v>667</v>
      </c>
      <c r="B8" s="1" t="s">
        <v>669</v>
      </c>
    </row>
    <row r="9" spans="1:6" x14ac:dyDescent="0.3">
      <c r="A9" s="1" t="s">
        <v>682</v>
      </c>
      <c r="B9" s="1" t="s">
        <v>668</v>
      </c>
      <c r="E9" s="1" t="s">
        <v>715</v>
      </c>
      <c r="F9" s="1" t="s">
        <v>780</v>
      </c>
    </row>
    <row r="10" spans="1:6" x14ac:dyDescent="0.3">
      <c r="F10" s="1" t="s">
        <v>717</v>
      </c>
    </row>
    <row r="11" spans="1:6" x14ac:dyDescent="0.3">
      <c r="A11" s="1" t="s">
        <v>612</v>
      </c>
      <c r="B11" s="1" t="s">
        <v>614</v>
      </c>
      <c r="F11" s="1" t="s">
        <v>781</v>
      </c>
    </row>
    <row r="12" spans="1:6" x14ac:dyDescent="0.3">
      <c r="A12" s="1" t="s">
        <v>682</v>
      </c>
      <c r="B12" s="1" t="s">
        <v>613</v>
      </c>
      <c r="F12" s="1" t="s">
        <v>782</v>
      </c>
    </row>
    <row r="13" spans="1:6" x14ac:dyDescent="0.3">
      <c r="F13" s="1" t="s">
        <v>731</v>
      </c>
    </row>
    <row r="14" spans="1:6" x14ac:dyDescent="0.3">
      <c r="A14" s="1" t="s">
        <v>620</v>
      </c>
      <c r="B14" s="1" t="s">
        <v>395</v>
      </c>
      <c r="F14" s="1" t="s">
        <v>748</v>
      </c>
    </row>
    <row r="15" spans="1:6" x14ac:dyDescent="0.3">
      <c r="A15" s="1" t="s">
        <v>680</v>
      </c>
      <c r="B15" s="1" t="s">
        <v>396</v>
      </c>
    </row>
    <row r="16" spans="1:6" x14ac:dyDescent="0.3">
      <c r="B16" s="1" t="s">
        <v>397</v>
      </c>
      <c r="E16" s="1" t="s">
        <v>721</v>
      </c>
      <c r="F16" s="1" t="s">
        <v>769</v>
      </c>
    </row>
    <row r="17" spans="2:6" x14ac:dyDescent="0.3">
      <c r="B17" s="1" t="s">
        <v>674</v>
      </c>
      <c r="F17" s="1" t="s">
        <v>758</v>
      </c>
    </row>
    <row r="18" spans="2:6" x14ac:dyDescent="0.3">
      <c r="B18" s="1" t="s">
        <v>670</v>
      </c>
    </row>
    <row r="19" spans="2:6" x14ac:dyDescent="0.3">
      <c r="B19" s="1" t="s">
        <v>426</v>
      </c>
      <c r="E19" s="1" t="s">
        <v>722</v>
      </c>
      <c r="F19" s="1" t="s">
        <v>784</v>
      </c>
    </row>
    <row r="20" spans="2:6" x14ac:dyDescent="0.3">
      <c r="B20" s="1" t="s">
        <v>671</v>
      </c>
      <c r="F20" s="1" t="s">
        <v>783</v>
      </c>
    </row>
    <row r="21" spans="2:6" x14ac:dyDescent="0.3">
      <c r="B21" s="1" t="s">
        <v>672</v>
      </c>
      <c r="F21" s="1" t="s">
        <v>785</v>
      </c>
    </row>
    <row r="22" spans="2:6" x14ac:dyDescent="0.3">
      <c r="B22" s="1" t="s">
        <v>673</v>
      </c>
      <c r="F22" s="1" t="s">
        <v>786</v>
      </c>
    </row>
    <row r="23" spans="2:6" x14ac:dyDescent="0.3">
      <c r="B23" s="1" t="s">
        <v>678</v>
      </c>
      <c r="F23" s="1" t="s">
        <v>768</v>
      </c>
    </row>
    <row r="24" spans="2:6" x14ac:dyDescent="0.3">
      <c r="B24" s="1" t="s">
        <v>466</v>
      </c>
    </row>
    <row r="25" spans="2:6" x14ac:dyDescent="0.3">
      <c r="B25" s="1" t="s">
        <v>464</v>
      </c>
      <c r="E25" s="1" t="s">
        <v>728</v>
      </c>
      <c r="F25" s="1" t="s">
        <v>787</v>
      </c>
    </row>
    <row r="26" spans="2:6" x14ac:dyDescent="0.3">
      <c r="B26" s="1" t="s">
        <v>675</v>
      </c>
      <c r="F26" s="1" t="s">
        <v>788</v>
      </c>
    </row>
    <row r="27" spans="2:6" x14ac:dyDescent="0.3">
      <c r="B27" s="1" t="s">
        <v>431</v>
      </c>
      <c r="F27" s="1" t="s">
        <v>789</v>
      </c>
    </row>
    <row r="28" spans="2:6" x14ac:dyDescent="0.3">
      <c r="B28" s="1" t="s">
        <v>453</v>
      </c>
      <c r="F28" s="1" t="s">
        <v>790</v>
      </c>
    </row>
    <row r="29" spans="2:6" x14ac:dyDescent="0.3">
      <c r="B29" s="1" t="s">
        <v>372</v>
      </c>
      <c r="F29" s="1" t="s">
        <v>768</v>
      </c>
    </row>
    <row r="30" spans="2:6" x14ac:dyDescent="0.3">
      <c r="B30" s="1" t="s">
        <v>498</v>
      </c>
    </row>
    <row r="31" spans="2:6" x14ac:dyDescent="0.3">
      <c r="B31" s="1" t="s">
        <v>676</v>
      </c>
      <c r="E31" s="1" t="s">
        <v>736</v>
      </c>
      <c r="F31" s="1" t="s">
        <v>754</v>
      </c>
    </row>
    <row r="32" spans="2:6" x14ac:dyDescent="0.3">
      <c r="B32" s="1" t="s">
        <v>679</v>
      </c>
      <c r="F32" s="1" t="s">
        <v>772</v>
      </c>
    </row>
    <row r="33" spans="1:6" x14ac:dyDescent="0.3">
      <c r="B33" s="1" t="s">
        <v>677</v>
      </c>
      <c r="F33" s="1" t="s">
        <v>791</v>
      </c>
    </row>
    <row r="34" spans="1:6" x14ac:dyDescent="0.3">
      <c r="F34" s="1" t="s">
        <v>740</v>
      </c>
    </row>
    <row r="35" spans="1:6" x14ac:dyDescent="0.3">
      <c r="A35" s="1" t="s">
        <v>627</v>
      </c>
      <c r="B35" s="1" t="s">
        <v>7</v>
      </c>
    </row>
    <row r="36" spans="1:6" x14ac:dyDescent="0.3">
      <c r="A36" s="1" t="s">
        <v>664</v>
      </c>
      <c r="B36" s="1" t="s">
        <v>538</v>
      </c>
      <c r="E36" s="1" t="s">
        <v>741</v>
      </c>
      <c r="F36" s="1" t="s">
        <v>793</v>
      </c>
    </row>
    <row r="37" spans="1:6" x14ac:dyDescent="0.3">
      <c r="B37" s="1" t="s">
        <v>628</v>
      </c>
      <c r="F37" s="1" t="s">
        <v>794</v>
      </c>
    </row>
    <row r="38" spans="1:6" x14ac:dyDescent="0.3">
      <c r="F38" s="1" t="s">
        <v>795</v>
      </c>
    </row>
    <row r="39" spans="1:6" x14ac:dyDescent="0.3">
      <c r="A39" s="1" t="s">
        <v>683</v>
      </c>
      <c r="B39" s="1" t="s">
        <v>684</v>
      </c>
      <c r="F39" s="1" t="s">
        <v>792</v>
      </c>
    </row>
    <row r="40" spans="1:6" x14ac:dyDescent="0.3">
      <c r="A40" s="1" t="s">
        <v>1034</v>
      </c>
      <c r="B40" s="1" t="s">
        <v>685</v>
      </c>
      <c r="F40" s="1" t="s">
        <v>796</v>
      </c>
    </row>
    <row r="41" spans="1:6" x14ac:dyDescent="0.3">
      <c r="B41" s="1" t="s">
        <v>687</v>
      </c>
      <c r="F41" s="1" t="s">
        <v>748</v>
      </c>
    </row>
    <row r="42" spans="1:6" x14ac:dyDescent="0.3">
      <c r="B42" s="1" t="s">
        <v>689</v>
      </c>
    </row>
    <row r="43" spans="1:6" x14ac:dyDescent="0.3">
      <c r="B43" s="1" t="s">
        <v>688</v>
      </c>
      <c r="E43" s="1" t="s">
        <v>749</v>
      </c>
      <c r="F43" s="1" t="s">
        <v>797</v>
      </c>
    </row>
    <row r="44" spans="1:6" x14ac:dyDescent="0.3">
      <c r="B44" s="1" t="s">
        <v>686</v>
      </c>
      <c r="F44" s="1" t="s">
        <v>798</v>
      </c>
    </row>
    <row r="45" spans="1:6" x14ac:dyDescent="0.3">
      <c r="F45" s="1" t="s">
        <v>799</v>
      </c>
    </row>
    <row r="46" spans="1:6" x14ac:dyDescent="0.3">
      <c r="F46" s="1" t="s">
        <v>800</v>
      </c>
    </row>
    <row r="47" spans="1:6" x14ac:dyDescent="0.3">
      <c r="F47" s="1" t="s">
        <v>815</v>
      </c>
    </row>
    <row r="48" spans="1:6" x14ac:dyDescent="0.3">
      <c r="F48" s="1" t="s">
        <v>763</v>
      </c>
    </row>
    <row r="49" spans="5:6" x14ac:dyDescent="0.3">
      <c r="F49" s="1" t="s">
        <v>735</v>
      </c>
    </row>
    <row r="51" spans="5:6" x14ac:dyDescent="0.3">
      <c r="E51" s="1" t="s">
        <v>756</v>
      </c>
      <c r="F51" s="1" t="s">
        <v>802</v>
      </c>
    </row>
    <row r="52" spans="5:6" x14ac:dyDescent="0.3">
      <c r="F52" s="1" t="s">
        <v>758</v>
      </c>
    </row>
    <row r="54" spans="5:6" x14ac:dyDescent="0.3">
      <c r="E54" s="1" t="s">
        <v>759</v>
      </c>
      <c r="F54" s="1" t="s">
        <v>801</v>
      </c>
    </row>
    <row r="55" spans="5:6" x14ac:dyDescent="0.3">
      <c r="F55" s="1" t="s">
        <v>803</v>
      </c>
    </row>
    <row r="56" spans="5:6" x14ac:dyDescent="0.3">
      <c r="F56" s="1" t="s">
        <v>804</v>
      </c>
    </row>
    <row r="57" spans="5:6" x14ac:dyDescent="0.3">
      <c r="F57" s="1" t="s">
        <v>805</v>
      </c>
    </row>
    <row r="58" spans="5:6" x14ac:dyDescent="0.3">
      <c r="F58" s="1" t="s">
        <v>754</v>
      </c>
    </row>
    <row r="59" spans="5:6" x14ac:dyDescent="0.3">
      <c r="F59" s="1" t="s">
        <v>748</v>
      </c>
    </row>
    <row r="61" spans="5:6" x14ac:dyDescent="0.3">
      <c r="E61" s="1" t="s">
        <v>765</v>
      </c>
      <c r="F61" s="1" t="s">
        <v>801</v>
      </c>
    </row>
    <row r="62" spans="5:6" x14ac:dyDescent="0.3">
      <c r="F62" s="1" t="s">
        <v>806</v>
      </c>
    </row>
    <row r="63" spans="5:6" x14ac:dyDescent="0.3">
      <c r="F63" s="1" t="s">
        <v>754</v>
      </c>
    </row>
    <row r="64" spans="5:6" x14ac:dyDescent="0.3">
      <c r="F64" s="1" t="s">
        <v>807</v>
      </c>
    </row>
    <row r="65" spans="1:6" x14ac:dyDescent="0.3">
      <c r="F65" s="1" t="s">
        <v>755</v>
      </c>
    </row>
    <row r="68" spans="1:6" x14ac:dyDescent="0.3">
      <c r="A68" s="1" t="s">
        <v>1023</v>
      </c>
    </row>
    <row r="69" spans="1:6" x14ac:dyDescent="0.3">
      <c r="A69" s="3" t="s">
        <v>603</v>
      </c>
    </row>
  </sheetData>
  <sortState xmlns:xlrd2="http://schemas.microsoft.com/office/spreadsheetml/2017/richdata2" ref="F61:F64">
    <sortCondition ref="F61:F64"/>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1C4D4-5CB8-47C2-A2A6-F517CD4789D9}">
  <dimension ref="A1:F69"/>
  <sheetViews>
    <sheetView topLeftCell="A25" workbookViewId="0">
      <selection activeCell="A37" sqref="A37:B47"/>
    </sheetView>
  </sheetViews>
  <sheetFormatPr defaultRowHeight="14.4" x14ac:dyDescent="0.3"/>
  <cols>
    <col min="1" max="1" width="15.21875" style="1" bestFit="1" customWidth="1"/>
    <col min="2" max="2" width="9.88671875" style="1" bestFit="1" customWidth="1"/>
    <col min="3" max="4" width="8.88671875" style="1"/>
    <col min="5" max="5" width="23.33203125" style="1" bestFit="1" customWidth="1"/>
    <col min="6" max="16384" width="8.88671875" style="1"/>
  </cols>
  <sheetData>
    <row r="1" spans="1:6" x14ac:dyDescent="0.3">
      <c r="A1" s="1" t="s">
        <v>601</v>
      </c>
      <c r="B1" s="1" t="s">
        <v>602</v>
      </c>
      <c r="E1" s="1" t="s">
        <v>705</v>
      </c>
      <c r="F1" s="1" t="s">
        <v>706</v>
      </c>
    </row>
    <row r="2" spans="1:6" x14ac:dyDescent="0.3">
      <c r="A2" s="1" t="s">
        <v>603</v>
      </c>
      <c r="B2" s="1" t="s">
        <v>559</v>
      </c>
      <c r="E2" s="1" t="s">
        <v>770</v>
      </c>
      <c r="F2" s="1" t="s">
        <v>778</v>
      </c>
    </row>
    <row r="3" spans="1:6" x14ac:dyDescent="0.3">
      <c r="A3" s="1" t="s">
        <v>681</v>
      </c>
      <c r="B3" s="1" t="s">
        <v>434</v>
      </c>
      <c r="F3" s="1" t="s">
        <v>713</v>
      </c>
    </row>
    <row r="4" spans="1:6" x14ac:dyDescent="0.3">
      <c r="B4" s="1" t="s">
        <v>0</v>
      </c>
      <c r="F4" s="1" t="s">
        <v>712</v>
      </c>
    </row>
    <row r="5" spans="1:6" x14ac:dyDescent="0.3">
      <c r="B5" s="1" t="s">
        <v>666</v>
      </c>
      <c r="F5" s="1" t="s">
        <v>710</v>
      </c>
    </row>
    <row r="6" spans="1:6" x14ac:dyDescent="0.3">
      <c r="B6" s="1" t="s">
        <v>665</v>
      </c>
      <c r="F6" s="1" t="s">
        <v>779</v>
      </c>
    </row>
    <row r="7" spans="1:6" x14ac:dyDescent="0.3">
      <c r="F7" s="1" t="s">
        <v>755</v>
      </c>
    </row>
    <row r="8" spans="1:6" x14ac:dyDescent="0.3">
      <c r="A8" s="1" t="s">
        <v>667</v>
      </c>
      <c r="B8" s="1" t="s">
        <v>669</v>
      </c>
    </row>
    <row r="9" spans="1:6" x14ac:dyDescent="0.3">
      <c r="A9" s="1" t="s">
        <v>664</v>
      </c>
      <c r="B9" s="1" t="s">
        <v>690</v>
      </c>
      <c r="E9" s="1" t="s">
        <v>715</v>
      </c>
      <c r="F9" s="1" t="s">
        <v>780</v>
      </c>
    </row>
    <row r="10" spans="1:6" x14ac:dyDescent="0.3">
      <c r="B10" s="1" t="s">
        <v>668</v>
      </c>
      <c r="F10" s="1" t="s">
        <v>717</v>
      </c>
    </row>
    <row r="11" spans="1:6" x14ac:dyDescent="0.3">
      <c r="F11" s="1" t="s">
        <v>781</v>
      </c>
    </row>
    <row r="12" spans="1:6" x14ac:dyDescent="0.3">
      <c r="A12" s="1" t="s">
        <v>612</v>
      </c>
      <c r="B12" s="1" t="s">
        <v>614</v>
      </c>
      <c r="F12" s="1" t="s">
        <v>782</v>
      </c>
    </row>
    <row r="13" spans="1:6" x14ac:dyDescent="0.3">
      <c r="A13" s="1" t="s">
        <v>682</v>
      </c>
      <c r="B13" s="1" t="s">
        <v>613</v>
      </c>
      <c r="F13" s="1" t="s">
        <v>731</v>
      </c>
    </row>
    <row r="14" spans="1:6" x14ac:dyDescent="0.3">
      <c r="F14" s="1" t="s">
        <v>748</v>
      </c>
    </row>
    <row r="15" spans="1:6" x14ac:dyDescent="0.3">
      <c r="A15" s="1" t="s">
        <v>620</v>
      </c>
      <c r="B15" s="1" t="s">
        <v>395</v>
      </c>
    </row>
    <row r="16" spans="1:6" x14ac:dyDescent="0.3">
      <c r="A16" s="1" t="s">
        <v>704</v>
      </c>
      <c r="B16" s="1" t="s">
        <v>396</v>
      </c>
      <c r="E16" s="1" t="s">
        <v>721</v>
      </c>
      <c r="F16" s="1" t="s">
        <v>769</v>
      </c>
    </row>
    <row r="17" spans="2:6" x14ac:dyDescent="0.3">
      <c r="B17" s="1" t="s">
        <v>397</v>
      </c>
      <c r="F17" s="1" t="s">
        <v>758</v>
      </c>
    </row>
    <row r="18" spans="2:6" x14ac:dyDescent="0.3">
      <c r="B18" s="1" t="s">
        <v>674</v>
      </c>
    </row>
    <row r="19" spans="2:6" x14ac:dyDescent="0.3">
      <c r="B19" s="1" t="s">
        <v>670</v>
      </c>
      <c r="E19" s="1" t="s">
        <v>722</v>
      </c>
      <c r="F19" s="1" t="s">
        <v>784</v>
      </c>
    </row>
    <row r="20" spans="2:6" x14ac:dyDescent="0.3">
      <c r="B20" s="1" t="s">
        <v>691</v>
      </c>
      <c r="F20" s="1" t="s">
        <v>783</v>
      </c>
    </row>
    <row r="21" spans="2:6" x14ac:dyDescent="0.3">
      <c r="B21" s="1" t="s">
        <v>692</v>
      </c>
      <c r="F21" s="1" t="s">
        <v>785</v>
      </c>
    </row>
    <row r="22" spans="2:6" x14ac:dyDescent="0.3">
      <c r="B22" s="1" t="s">
        <v>693</v>
      </c>
      <c r="F22" s="1" t="s">
        <v>786</v>
      </c>
    </row>
    <row r="23" spans="2:6" x14ac:dyDescent="0.3">
      <c r="B23" s="1" t="s">
        <v>678</v>
      </c>
      <c r="F23" s="1" t="s">
        <v>768</v>
      </c>
    </row>
    <row r="24" spans="2:6" x14ac:dyDescent="0.3">
      <c r="B24" s="1" t="s">
        <v>466</v>
      </c>
    </row>
    <row r="25" spans="2:6" x14ac:dyDescent="0.3">
      <c r="B25" s="1" t="s">
        <v>464</v>
      </c>
      <c r="E25" s="1" t="s">
        <v>728</v>
      </c>
      <c r="F25" s="1" t="s">
        <v>787</v>
      </c>
    </row>
    <row r="26" spans="2:6" x14ac:dyDescent="0.3">
      <c r="B26" s="1" t="s">
        <v>694</v>
      </c>
      <c r="F26" s="1" t="s">
        <v>788</v>
      </c>
    </row>
    <row r="27" spans="2:6" x14ac:dyDescent="0.3">
      <c r="B27" s="1" t="s">
        <v>431</v>
      </c>
      <c r="F27" s="1" t="s">
        <v>808</v>
      </c>
    </row>
    <row r="28" spans="2:6" x14ac:dyDescent="0.3">
      <c r="B28" s="1" t="s">
        <v>453</v>
      </c>
      <c r="F28" s="1" t="s">
        <v>789</v>
      </c>
    </row>
    <row r="29" spans="2:6" x14ac:dyDescent="0.3">
      <c r="B29" s="1" t="s">
        <v>372</v>
      </c>
      <c r="F29" s="1" t="s">
        <v>768</v>
      </c>
    </row>
    <row r="30" spans="2:6" x14ac:dyDescent="0.3">
      <c r="B30" s="1" t="s">
        <v>498</v>
      </c>
    </row>
    <row r="31" spans="2:6" x14ac:dyDescent="0.3">
      <c r="B31" s="1" t="s">
        <v>676</v>
      </c>
      <c r="E31" s="1" t="s">
        <v>736</v>
      </c>
      <c r="F31" s="1" t="s">
        <v>754</v>
      </c>
    </row>
    <row r="32" spans="2:6" x14ac:dyDescent="0.3">
      <c r="F32" s="1" t="s">
        <v>772</v>
      </c>
    </row>
    <row r="33" spans="1:6" x14ac:dyDescent="0.3">
      <c r="A33" s="1" t="s">
        <v>627</v>
      </c>
      <c r="B33" s="1" t="s">
        <v>7</v>
      </c>
      <c r="F33" s="1" t="s">
        <v>791</v>
      </c>
    </row>
    <row r="34" spans="1:6" x14ac:dyDescent="0.3">
      <c r="A34" s="1" t="s">
        <v>664</v>
      </c>
      <c r="B34" s="1" t="s">
        <v>538</v>
      </c>
      <c r="F34" s="1" t="s">
        <v>740</v>
      </c>
    </row>
    <row r="35" spans="1:6" x14ac:dyDescent="0.3">
      <c r="B35" s="1" t="s">
        <v>628</v>
      </c>
    </row>
    <row r="36" spans="1:6" x14ac:dyDescent="0.3">
      <c r="E36" s="1" t="s">
        <v>741</v>
      </c>
      <c r="F36" s="1" t="s">
        <v>793</v>
      </c>
    </row>
    <row r="37" spans="1:6" x14ac:dyDescent="0.3">
      <c r="A37" s="1" t="s">
        <v>683</v>
      </c>
      <c r="B37" s="1" t="s">
        <v>695</v>
      </c>
      <c r="F37" s="1" t="s">
        <v>809</v>
      </c>
    </row>
    <row r="38" spans="1:6" x14ac:dyDescent="0.3">
      <c r="A38" s="1" t="s">
        <v>1036</v>
      </c>
      <c r="B38" s="1" t="s">
        <v>696</v>
      </c>
      <c r="F38" s="1" t="s">
        <v>792</v>
      </c>
    </row>
    <row r="39" spans="1:6" x14ac:dyDescent="0.3">
      <c r="B39" s="1" t="s">
        <v>671</v>
      </c>
      <c r="F39" s="1" t="s">
        <v>754</v>
      </c>
    </row>
    <row r="40" spans="1:6" x14ac:dyDescent="0.3">
      <c r="B40" s="1" t="s">
        <v>697</v>
      </c>
      <c r="F40" s="1" t="s">
        <v>738</v>
      </c>
    </row>
    <row r="41" spans="1:6" x14ac:dyDescent="0.3">
      <c r="B41" s="1" t="s">
        <v>698</v>
      </c>
      <c r="F41" s="1" t="s">
        <v>748</v>
      </c>
    </row>
    <row r="42" spans="1:6" x14ac:dyDescent="0.3">
      <c r="B42" s="1" t="s">
        <v>675</v>
      </c>
    </row>
    <row r="43" spans="1:6" x14ac:dyDescent="0.3">
      <c r="B43" s="1" t="s">
        <v>468</v>
      </c>
      <c r="E43" s="1" t="s">
        <v>749</v>
      </c>
      <c r="F43" s="1" t="s">
        <v>797</v>
      </c>
    </row>
    <row r="44" spans="1:6" x14ac:dyDescent="0.3">
      <c r="B44" s="1" t="s">
        <v>699</v>
      </c>
      <c r="F44" s="1" t="s">
        <v>799</v>
      </c>
    </row>
    <row r="45" spans="1:6" x14ac:dyDescent="0.3">
      <c r="B45" s="1" t="s">
        <v>700</v>
      </c>
      <c r="F45" s="1" t="s">
        <v>800</v>
      </c>
    </row>
    <row r="46" spans="1:6" x14ac:dyDescent="0.3">
      <c r="B46" s="1" t="s">
        <v>702</v>
      </c>
      <c r="F46" s="1" t="s">
        <v>763</v>
      </c>
    </row>
    <row r="47" spans="1:6" x14ac:dyDescent="0.3">
      <c r="B47" s="1" t="s">
        <v>701</v>
      </c>
      <c r="F47" s="1" t="s">
        <v>754</v>
      </c>
    </row>
    <row r="48" spans="1:6" x14ac:dyDescent="0.3">
      <c r="F48" s="1" t="s">
        <v>816</v>
      </c>
    </row>
    <row r="49" spans="5:6" x14ac:dyDescent="0.3">
      <c r="F49" s="1" t="s">
        <v>735</v>
      </c>
    </row>
    <row r="51" spans="5:6" x14ac:dyDescent="0.3">
      <c r="E51" s="1" t="s">
        <v>756</v>
      </c>
      <c r="F51" s="1" t="s">
        <v>811</v>
      </c>
    </row>
    <row r="52" spans="5:6" x14ac:dyDescent="0.3">
      <c r="F52" s="1" t="s">
        <v>758</v>
      </c>
    </row>
    <row r="54" spans="5:6" x14ac:dyDescent="0.3">
      <c r="E54" s="1" t="s">
        <v>759</v>
      </c>
      <c r="F54" s="1" t="s">
        <v>810</v>
      </c>
    </row>
    <row r="55" spans="5:6" x14ac:dyDescent="0.3">
      <c r="F55" s="1" t="s">
        <v>810</v>
      </c>
    </row>
    <row r="56" spans="5:6" x14ac:dyDescent="0.3">
      <c r="F56" s="1" t="s">
        <v>812</v>
      </c>
    </row>
    <row r="57" spans="5:6" x14ac:dyDescent="0.3">
      <c r="F57" s="1" t="s">
        <v>813</v>
      </c>
    </row>
    <row r="58" spans="5:6" x14ac:dyDescent="0.3">
      <c r="F58" s="1" t="s">
        <v>805</v>
      </c>
    </row>
    <row r="59" spans="5:6" x14ac:dyDescent="0.3">
      <c r="F59" s="1" t="s">
        <v>748</v>
      </c>
    </row>
    <row r="61" spans="5:6" x14ac:dyDescent="0.3">
      <c r="E61" s="1" t="s">
        <v>765</v>
      </c>
      <c r="F61" s="1" t="s">
        <v>810</v>
      </c>
    </row>
    <row r="62" spans="5:6" x14ac:dyDescent="0.3">
      <c r="F62" s="1" t="s">
        <v>810</v>
      </c>
    </row>
    <row r="63" spans="5:6" x14ac:dyDescent="0.3">
      <c r="F63" s="1" t="s">
        <v>814</v>
      </c>
    </row>
    <row r="64" spans="5:6" x14ac:dyDescent="0.3">
      <c r="F64" s="1" t="s">
        <v>806</v>
      </c>
    </row>
    <row r="65" spans="1:6" x14ac:dyDescent="0.3">
      <c r="F65" s="1" t="s">
        <v>755</v>
      </c>
    </row>
    <row r="68" spans="1:6" x14ac:dyDescent="0.3">
      <c r="A68" s="1" t="s">
        <v>1023</v>
      </c>
    </row>
    <row r="69" spans="1:6" x14ac:dyDescent="0.3">
      <c r="A69" s="3" t="s">
        <v>603</v>
      </c>
    </row>
  </sheetData>
  <sortState xmlns:xlrd2="http://schemas.microsoft.com/office/spreadsheetml/2017/richdata2" ref="F61:F64">
    <sortCondition ref="F61:F64"/>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71C294-B54D-4FE3-9C07-E55D22469AB8}">
  <dimension ref="A1:J93"/>
  <sheetViews>
    <sheetView topLeftCell="A22" zoomScaleNormal="100" workbookViewId="0">
      <selection activeCell="B9" sqref="B9:B41"/>
    </sheetView>
  </sheetViews>
  <sheetFormatPr defaultRowHeight="14.4" x14ac:dyDescent="0.3"/>
  <cols>
    <col min="1" max="1" width="16.5546875" style="1" bestFit="1" customWidth="1"/>
    <col min="2" max="2" width="10.21875" style="1" bestFit="1" customWidth="1"/>
    <col min="3" max="5" width="8.88671875" style="1"/>
    <col min="6" max="6" width="23.33203125" style="1" bestFit="1" customWidth="1"/>
    <col min="7" max="16384" width="8.88671875" style="1"/>
  </cols>
  <sheetData>
    <row r="1" spans="1:10" x14ac:dyDescent="0.3">
      <c r="A1" s="1" t="s">
        <v>601</v>
      </c>
      <c r="B1" s="1" t="s">
        <v>602</v>
      </c>
      <c r="F1" s="1" t="s">
        <v>705</v>
      </c>
      <c r="G1" s="1" t="s">
        <v>706</v>
      </c>
      <c r="J1" s="1" t="s">
        <v>818</v>
      </c>
    </row>
    <row r="2" spans="1:10" x14ac:dyDescent="0.3">
      <c r="A2" s="1" t="s">
        <v>603</v>
      </c>
      <c r="B2" s="1" t="s">
        <v>406</v>
      </c>
      <c r="C2" s="1" t="s">
        <v>407</v>
      </c>
      <c r="F2" s="1" t="s">
        <v>707</v>
      </c>
      <c r="G2" s="1" t="s">
        <v>709</v>
      </c>
      <c r="J2" s="1" t="s">
        <v>819</v>
      </c>
    </row>
    <row r="3" spans="1:10" x14ac:dyDescent="0.3">
      <c r="A3" s="1" t="s">
        <v>817</v>
      </c>
      <c r="B3" s="1" t="s">
        <v>610</v>
      </c>
      <c r="C3" s="1" t="s">
        <v>611</v>
      </c>
      <c r="G3" s="1" t="s">
        <v>711</v>
      </c>
    </row>
    <row r="4" spans="1:10" x14ac:dyDescent="0.3">
      <c r="B4" s="1" t="s">
        <v>471</v>
      </c>
      <c r="G4" s="1" t="s">
        <v>713</v>
      </c>
    </row>
    <row r="5" spans="1:10" x14ac:dyDescent="0.3">
      <c r="B5" s="1" t="s">
        <v>511</v>
      </c>
      <c r="C5" s="1" t="s">
        <v>604</v>
      </c>
      <c r="G5" s="1" t="s">
        <v>712</v>
      </c>
    </row>
    <row r="6" spans="1:10" x14ac:dyDescent="0.3">
      <c r="B6" s="1" t="s">
        <v>532</v>
      </c>
      <c r="C6" s="1" t="s">
        <v>605</v>
      </c>
      <c r="G6" s="1" t="s">
        <v>710</v>
      </c>
    </row>
    <row r="7" spans="1:10" x14ac:dyDescent="0.3">
      <c r="B7" s="1" t="s">
        <v>606</v>
      </c>
      <c r="C7" s="1" t="s">
        <v>607</v>
      </c>
      <c r="G7" s="1" t="s">
        <v>708</v>
      </c>
    </row>
    <row r="8" spans="1:10" x14ac:dyDescent="0.3">
      <c r="B8" s="1" t="s">
        <v>608</v>
      </c>
      <c r="C8" s="1" t="s">
        <v>609</v>
      </c>
      <c r="G8" s="1" t="s">
        <v>714</v>
      </c>
    </row>
    <row r="9" spans="1:10" x14ac:dyDescent="0.3">
      <c r="B9" s="1" t="s">
        <v>583</v>
      </c>
    </row>
    <row r="10" spans="1:10" x14ac:dyDescent="0.3">
      <c r="B10" s="1" t="s">
        <v>579</v>
      </c>
      <c r="F10" s="1" t="s">
        <v>715</v>
      </c>
      <c r="G10" s="1" t="s">
        <v>719</v>
      </c>
    </row>
    <row r="11" spans="1:10" x14ac:dyDescent="0.3">
      <c r="B11" s="1" t="s">
        <v>584</v>
      </c>
      <c r="G11" s="1" t="s">
        <v>732</v>
      </c>
    </row>
    <row r="12" spans="1:10" x14ac:dyDescent="0.3">
      <c r="B12" s="1" t="s">
        <v>580</v>
      </c>
      <c r="G12" s="1" t="s">
        <v>848</v>
      </c>
    </row>
    <row r="13" spans="1:10" x14ac:dyDescent="0.3">
      <c r="G13" s="1" t="s">
        <v>718</v>
      </c>
    </row>
    <row r="14" spans="1:10" x14ac:dyDescent="0.3">
      <c r="A14" s="1" t="s">
        <v>612</v>
      </c>
      <c r="B14" s="1" t="s">
        <v>619</v>
      </c>
      <c r="G14" s="1" t="s">
        <v>720</v>
      </c>
    </row>
    <row r="15" spans="1:10" x14ac:dyDescent="0.3">
      <c r="A15" s="1" t="s">
        <v>663</v>
      </c>
      <c r="B15" s="1" t="s">
        <v>614</v>
      </c>
      <c r="G15" s="1" t="s">
        <v>714</v>
      </c>
    </row>
    <row r="16" spans="1:10" x14ac:dyDescent="0.3">
      <c r="B16" s="1" t="s">
        <v>613</v>
      </c>
    </row>
    <row r="17" spans="1:7" x14ac:dyDescent="0.3">
      <c r="B17" s="1" t="s">
        <v>615</v>
      </c>
      <c r="F17" s="1" t="s">
        <v>721</v>
      </c>
      <c r="G17" s="1" t="s">
        <v>769</v>
      </c>
    </row>
    <row r="18" spans="1:7" x14ac:dyDescent="0.3">
      <c r="B18" s="1" t="s">
        <v>616</v>
      </c>
      <c r="G18" s="1" t="s">
        <v>758</v>
      </c>
    </row>
    <row r="19" spans="1:7" x14ac:dyDescent="0.3">
      <c r="B19" s="1" t="s">
        <v>617</v>
      </c>
    </row>
    <row r="20" spans="1:7" x14ac:dyDescent="0.3">
      <c r="B20" s="1" t="s">
        <v>618</v>
      </c>
      <c r="F20" s="1" t="s">
        <v>722</v>
      </c>
      <c r="G20" s="1" t="s">
        <v>725</v>
      </c>
    </row>
    <row r="21" spans="1:7" x14ac:dyDescent="0.3">
      <c r="G21" s="1" t="s">
        <v>726</v>
      </c>
    </row>
    <row r="22" spans="1:7" x14ac:dyDescent="0.3">
      <c r="A22" s="1" t="s">
        <v>620</v>
      </c>
      <c r="B22" s="1" t="s">
        <v>484</v>
      </c>
      <c r="G22" s="1" t="s">
        <v>849</v>
      </c>
    </row>
    <row r="23" spans="1:7" x14ac:dyDescent="0.3">
      <c r="A23" s="1" t="s">
        <v>1028</v>
      </c>
      <c r="B23" s="1" t="s">
        <v>374</v>
      </c>
      <c r="G23" s="1" t="s">
        <v>724</v>
      </c>
    </row>
    <row r="24" spans="1:7" x14ac:dyDescent="0.3">
      <c r="B24" s="1" t="s">
        <v>390</v>
      </c>
      <c r="G24" s="1" t="s">
        <v>727</v>
      </c>
    </row>
    <row r="25" spans="1:7" x14ac:dyDescent="0.3">
      <c r="B25" s="1" t="s">
        <v>392</v>
      </c>
      <c r="G25" s="1" t="s">
        <v>714</v>
      </c>
    </row>
    <row r="26" spans="1:7" x14ac:dyDescent="0.3">
      <c r="B26" s="1" t="s">
        <v>621</v>
      </c>
    </row>
    <row r="27" spans="1:7" x14ac:dyDescent="0.3">
      <c r="B27" s="1" t="s">
        <v>393</v>
      </c>
      <c r="F27" s="1" t="s">
        <v>728</v>
      </c>
      <c r="G27" s="1" t="s">
        <v>729</v>
      </c>
    </row>
    <row r="28" spans="1:7" x14ac:dyDescent="0.3">
      <c r="B28" s="1" t="s">
        <v>622</v>
      </c>
      <c r="G28" s="1" t="s">
        <v>730</v>
      </c>
    </row>
    <row r="29" spans="1:7" x14ac:dyDescent="0.3">
      <c r="B29" s="1" t="s">
        <v>394</v>
      </c>
      <c r="G29" s="1" t="s">
        <v>734</v>
      </c>
    </row>
    <row r="30" spans="1:7" x14ac:dyDescent="0.3">
      <c r="B30" s="1" t="s">
        <v>623</v>
      </c>
      <c r="G30" s="1" t="s">
        <v>850</v>
      </c>
    </row>
    <row r="31" spans="1:7" x14ac:dyDescent="0.3">
      <c r="B31" s="1" t="s">
        <v>625</v>
      </c>
      <c r="G31" s="1" t="s">
        <v>717</v>
      </c>
    </row>
    <row r="32" spans="1:7" x14ac:dyDescent="0.3">
      <c r="B32" s="1" t="s">
        <v>626</v>
      </c>
      <c r="G32" s="1" t="s">
        <v>731</v>
      </c>
    </row>
    <row r="33" spans="1:7" x14ac:dyDescent="0.3">
      <c r="B33" s="1" t="s">
        <v>387</v>
      </c>
      <c r="G33" s="1" t="s">
        <v>735</v>
      </c>
    </row>
    <row r="34" spans="1:7" x14ac:dyDescent="0.3">
      <c r="B34" s="1" t="s">
        <v>365</v>
      </c>
    </row>
    <row r="35" spans="1:7" x14ac:dyDescent="0.3">
      <c r="B35" s="1" t="s">
        <v>366</v>
      </c>
      <c r="F35" s="1" t="s">
        <v>736</v>
      </c>
      <c r="G35" s="1" t="s">
        <v>739</v>
      </c>
    </row>
    <row r="36" spans="1:7" x14ac:dyDescent="0.3">
      <c r="B36" s="1" t="s">
        <v>449</v>
      </c>
      <c r="G36" s="1" t="s">
        <v>737</v>
      </c>
    </row>
    <row r="37" spans="1:7" x14ac:dyDescent="0.3">
      <c r="B37" s="1" t="s">
        <v>624</v>
      </c>
      <c r="G37" s="1" t="s">
        <v>738</v>
      </c>
    </row>
    <row r="38" spans="1:7" x14ac:dyDescent="0.3">
      <c r="G38" s="1" t="s">
        <v>740</v>
      </c>
    </row>
    <row r="39" spans="1:7" x14ac:dyDescent="0.3">
      <c r="A39" s="1" t="s">
        <v>627</v>
      </c>
      <c r="B39" s="1" t="s">
        <v>7</v>
      </c>
    </row>
    <row r="40" spans="1:7" x14ac:dyDescent="0.3">
      <c r="A40" s="1" t="s">
        <v>664</v>
      </c>
      <c r="B40" s="1" t="s">
        <v>538</v>
      </c>
      <c r="F40" s="1" t="s">
        <v>741</v>
      </c>
      <c r="G40" s="1" t="s">
        <v>742</v>
      </c>
    </row>
    <row r="41" spans="1:7" x14ac:dyDescent="0.3">
      <c r="B41" s="1" t="s">
        <v>628</v>
      </c>
      <c r="G41" s="1" t="s">
        <v>743</v>
      </c>
    </row>
    <row r="42" spans="1:7" x14ac:dyDescent="0.3">
      <c r="G42" s="1" t="s">
        <v>744</v>
      </c>
    </row>
    <row r="43" spans="1:7" x14ac:dyDescent="0.3">
      <c r="A43" s="1" t="s">
        <v>649</v>
      </c>
      <c r="B43" s="1" t="s">
        <v>650</v>
      </c>
      <c r="G43" s="1" t="s">
        <v>745</v>
      </c>
    </row>
    <row r="44" spans="1:7" x14ac:dyDescent="0.3">
      <c r="A44" s="1" t="s">
        <v>821</v>
      </c>
      <c r="B44" s="1" t="s">
        <v>820</v>
      </c>
      <c r="G44" s="1" t="s">
        <v>747</v>
      </c>
    </row>
    <row r="45" spans="1:7" x14ac:dyDescent="0.3">
      <c r="B45" s="1" t="s">
        <v>651</v>
      </c>
      <c r="G45" s="1" t="s">
        <v>746</v>
      </c>
    </row>
    <row r="46" spans="1:7" x14ac:dyDescent="0.3">
      <c r="B46" s="1" t="s">
        <v>652</v>
      </c>
      <c r="G46" s="1" t="s">
        <v>748</v>
      </c>
    </row>
    <row r="48" spans="1:7" x14ac:dyDescent="0.3">
      <c r="A48" s="1" t="s">
        <v>683</v>
      </c>
      <c r="B48" s="1" t="s">
        <v>630</v>
      </c>
      <c r="F48" s="1" t="s">
        <v>749</v>
      </c>
      <c r="G48" s="1" t="s">
        <v>750</v>
      </c>
    </row>
    <row r="49" spans="1:7" x14ac:dyDescent="0.3">
      <c r="A49" s="1" t="s">
        <v>821</v>
      </c>
      <c r="B49" s="1" t="s">
        <v>822</v>
      </c>
      <c r="G49" s="1" t="s">
        <v>751</v>
      </c>
    </row>
    <row r="50" spans="1:7" x14ac:dyDescent="0.3">
      <c r="B50" s="1" t="s">
        <v>632</v>
      </c>
      <c r="G50" s="1" t="s">
        <v>752</v>
      </c>
    </row>
    <row r="51" spans="1:7" x14ac:dyDescent="0.3">
      <c r="B51" s="1" t="s">
        <v>823</v>
      </c>
      <c r="G51" s="1" t="s">
        <v>753</v>
      </c>
    </row>
    <row r="52" spans="1:7" x14ac:dyDescent="0.3">
      <c r="B52" s="1" t="s">
        <v>633</v>
      </c>
      <c r="G52" s="1" t="s">
        <v>754</v>
      </c>
    </row>
    <row r="53" spans="1:7" x14ac:dyDescent="0.3">
      <c r="B53" s="1" t="s">
        <v>634</v>
      </c>
      <c r="G53" s="1" t="s">
        <v>755</v>
      </c>
    </row>
    <row r="54" spans="1:7" x14ac:dyDescent="0.3">
      <c r="B54" s="1" t="s">
        <v>824</v>
      </c>
    </row>
    <row r="55" spans="1:7" x14ac:dyDescent="0.3">
      <c r="B55" s="1" t="s">
        <v>825</v>
      </c>
      <c r="F55" s="1" t="s">
        <v>756</v>
      </c>
      <c r="G55" s="1" t="s">
        <v>757</v>
      </c>
    </row>
    <row r="56" spans="1:7" x14ac:dyDescent="0.3">
      <c r="B56" s="1" t="s">
        <v>826</v>
      </c>
      <c r="G56" s="1" t="s">
        <v>758</v>
      </c>
    </row>
    <row r="57" spans="1:7" x14ac:dyDescent="0.3">
      <c r="B57" s="1" t="s">
        <v>635</v>
      </c>
    </row>
    <row r="58" spans="1:7" x14ac:dyDescent="0.3">
      <c r="B58" s="1" t="s">
        <v>827</v>
      </c>
      <c r="F58" s="1" t="s">
        <v>759</v>
      </c>
      <c r="G58" s="1" t="s">
        <v>760</v>
      </c>
    </row>
    <row r="59" spans="1:7" x14ac:dyDescent="0.3">
      <c r="B59" s="1" t="s">
        <v>650</v>
      </c>
      <c r="G59" s="1" t="s">
        <v>761</v>
      </c>
    </row>
    <row r="60" spans="1:7" x14ac:dyDescent="0.3">
      <c r="B60" s="1" t="s">
        <v>820</v>
      </c>
      <c r="G60" s="1" t="s">
        <v>762</v>
      </c>
    </row>
    <row r="61" spans="1:7" x14ac:dyDescent="0.3">
      <c r="B61" s="1" t="s">
        <v>651</v>
      </c>
      <c r="G61" s="1" t="s">
        <v>763</v>
      </c>
    </row>
    <row r="62" spans="1:7" x14ac:dyDescent="0.3">
      <c r="B62" s="1" t="s">
        <v>828</v>
      </c>
      <c r="G62" s="1" t="s">
        <v>764</v>
      </c>
    </row>
    <row r="63" spans="1:7" x14ac:dyDescent="0.3">
      <c r="B63" s="1" t="s">
        <v>652</v>
      </c>
      <c r="G63" s="1" t="s">
        <v>755</v>
      </c>
    </row>
    <row r="64" spans="1:7" x14ac:dyDescent="0.3">
      <c r="B64" s="1" t="s">
        <v>636</v>
      </c>
    </row>
    <row r="65" spans="2:7" x14ac:dyDescent="0.3">
      <c r="B65" s="1" t="s">
        <v>637</v>
      </c>
      <c r="F65" s="1" t="s">
        <v>765</v>
      </c>
      <c r="G65" s="1" t="s">
        <v>766</v>
      </c>
    </row>
    <row r="66" spans="2:7" x14ac:dyDescent="0.3">
      <c r="B66" s="1" t="s">
        <v>655</v>
      </c>
      <c r="G66" s="1" t="s">
        <v>767</v>
      </c>
    </row>
    <row r="67" spans="2:7" x14ac:dyDescent="0.3">
      <c r="B67" s="1" t="s">
        <v>656</v>
      </c>
      <c r="G67" s="1" t="s">
        <v>764</v>
      </c>
    </row>
    <row r="68" spans="2:7" x14ac:dyDescent="0.3">
      <c r="B68" s="1" t="s">
        <v>658</v>
      </c>
      <c r="G68" s="1" t="s">
        <v>753</v>
      </c>
    </row>
    <row r="69" spans="2:7" x14ac:dyDescent="0.3">
      <c r="B69" s="1" t="s">
        <v>659</v>
      </c>
      <c r="G69" s="1" t="s">
        <v>768</v>
      </c>
    </row>
    <row r="70" spans="2:7" x14ac:dyDescent="0.3">
      <c r="B70" s="1" t="s">
        <v>829</v>
      </c>
    </row>
    <row r="71" spans="2:7" x14ac:dyDescent="0.3">
      <c r="B71" s="1" t="s">
        <v>660</v>
      </c>
    </row>
    <row r="72" spans="2:7" x14ac:dyDescent="0.3">
      <c r="B72" s="1" t="s">
        <v>639</v>
      </c>
    </row>
    <row r="73" spans="2:7" x14ac:dyDescent="0.3">
      <c r="B73" s="1" t="s">
        <v>640</v>
      </c>
    </row>
    <row r="74" spans="2:7" x14ac:dyDescent="0.3">
      <c r="B74" s="1" t="s">
        <v>641</v>
      </c>
    </row>
    <row r="75" spans="2:7" x14ac:dyDescent="0.3">
      <c r="B75" s="1" t="s">
        <v>643</v>
      </c>
    </row>
    <row r="76" spans="2:7" x14ac:dyDescent="0.3">
      <c r="B76" s="1" t="s">
        <v>644</v>
      </c>
    </row>
    <row r="77" spans="2:7" x14ac:dyDescent="0.3">
      <c r="B77" s="1" t="s">
        <v>645</v>
      </c>
    </row>
    <row r="78" spans="2:7" x14ac:dyDescent="0.3">
      <c r="B78" s="1" t="s">
        <v>646</v>
      </c>
    </row>
    <row r="79" spans="2:7" x14ac:dyDescent="0.3">
      <c r="B79" s="1" t="s">
        <v>647</v>
      </c>
    </row>
    <row r="80" spans="2:7" x14ac:dyDescent="0.3">
      <c r="B80" s="1" t="s">
        <v>648</v>
      </c>
    </row>
    <row r="81" spans="1:2" x14ac:dyDescent="0.3">
      <c r="B81" s="1" t="s">
        <v>653</v>
      </c>
    </row>
    <row r="82" spans="1:2" x14ac:dyDescent="0.3">
      <c r="B82" s="1" t="s">
        <v>654</v>
      </c>
    </row>
    <row r="83" spans="1:2" x14ac:dyDescent="0.3">
      <c r="B83" s="1" t="s">
        <v>830</v>
      </c>
    </row>
    <row r="86" spans="1:2" x14ac:dyDescent="0.3">
      <c r="A86" s="1" t="s">
        <v>1023</v>
      </c>
      <c r="B86" s="1" t="s">
        <v>471</v>
      </c>
    </row>
    <row r="87" spans="1:2" x14ac:dyDescent="0.3">
      <c r="A87" s="1" t="s">
        <v>1024</v>
      </c>
    </row>
    <row r="88" spans="1:2" x14ac:dyDescent="0.3">
      <c r="A88" s="1" t="s">
        <v>1025</v>
      </c>
    </row>
    <row r="89" spans="1:2" x14ac:dyDescent="0.3">
      <c r="A89" s="1" t="s">
        <v>1026</v>
      </c>
    </row>
    <row r="90" spans="1:2" x14ac:dyDescent="0.3">
      <c r="A90" s="1" t="s">
        <v>1027</v>
      </c>
    </row>
    <row r="91" spans="1:2" x14ac:dyDescent="0.3">
      <c r="A91" s="1" t="s">
        <v>1020</v>
      </c>
    </row>
    <row r="92" spans="1:2" x14ac:dyDescent="0.3">
      <c r="A92" s="1" t="s">
        <v>1021</v>
      </c>
    </row>
    <row r="93" spans="1:2" x14ac:dyDescent="0.3">
      <c r="A93" s="1" t="s">
        <v>1022</v>
      </c>
    </row>
  </sheetData>
  <sortState xmlns:xlrd2="http://schemas.microsoft.com/office/spreadsheetml/2017/richdata2" ref="B48:B83">
    <sortCondition ref="B83"/>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61FD9-3A84-4D3A-83A5-CCCEB9F9C31D}">
  <dimension ref="A1:J102"/>
  <sheetViews>
    <sheetView topLeftCell="A22" workbookViewId="0">
      <selection activeCell="B4" sqref="B4:B31"/>
    </sheetView>
  </sheetViews>
  <sheetFormatPr defaultRowHeight="14.4" x14ac:dyDescent="0.3"/>
  <cols>
    <col min="1" max="1" width="16.5546875" style="1" bestFit="1" customWidth="1"/>
    <col min="2" max="2" width="10.21875" style="1" bestFit="1" customWidth="1"/>
    <col min="3" max="3" width="9.77734375" style="1" bestFit="1" customWidth="1"/>
    <col min="4" max="5" width="8.88671875" style="1"/>
    <col min="6" max="6" width="23.33203125" style="1" bestFit="1" customWidth="1"/>
    <col min="7" max="16384" width="8.88671875" style="1"/>
  </cols>
  <sheetData>
    <row r="1" spans="1:10" x14ac:dyDescent="0.3">
      <c r="A1" s="1" t="s">
        <v>601</v>
      </c>
      <c r="B1" s="1" t="s">
        <v>602</v>
      </c>
      <c r="F1" s="1" t="s">
        <v>705</v>
      </c>
      <c r="G1" s="1" t="s">
        <v>706</v>
      </c>
      <c r="J1" s="1" t="s">
        <v>818</v>
      </c>
    </row>
    <row r="2" spans="1:10" x14ac:dyDescent="0.3">
      <c r="A2" s="1" t="s">
        <v>603</v>
      </c>
      <c r="B2" s="1" t="s">
        <v>511</v>
      </c>
      <c r="C2" s="1" t="s">
        <v>604</v>
      </c>
      <c r="F2" s="1" t="s">
        <v>770</v>
      </c>
      <c r="G2" s="1" t="s">
        <v>713</v>
      </c>
      <c r="J2" s="1" t="s">
        <v>819</v>
      </c>
    </row>
    <row r="3" spans="1:10" x14ac:dyDescent="0.3">
      <c r="A3" s="1" t="s">
        <v>663</v>
      </c>
      <c r="B3" s="1" t="s">
        <v>532</v>
      </c>
      <c r="C3" s="1" t="s">
        <v>605</v>
      </c>
      <c r="G3" s="1" t="s">
        <v>771</v>
      </c>
      <c r="J3" s="1" t="s">
        <v>832</v>
      </c>
    </row>
    <row r="4" spans="1:10" x14ac:dyDescent="0.3">
      <c r="B4" s="1" t="s">
        <v>471</v>
      </c>
      <c r="G4" s="1" t="s">
        <v>710</v>
      </c>
    </row>
    <row r="5" spans="1:10" x14ac:dyDescent="0.3">
      <c r="B5" s="1" t="s">
        <v>583</v>
      </c>
      <c r="G5" s="1" t="s">
        <v>708</v>
      </c>
    </row>
    <row r="6" spans="1:10" x14ac:dyDescent="0.3">
      <c r="B6" s="1" t="s">
        <v>579</v>
      </c>
      <c r="G6" s="1" t="s">
        <v>738</v>
      </c>
    </row>
    <row r="7" spans="1:10" x14ac:dyDescent="0.3">
      <c r="B7" s="1" t="s">
        <v>584</v>
      </c>
      <c r="G7" s="1" t="s">
        <v>755</v>
      </c>
    </row>
    <row r="8" spans="1:10" x14ac:dyDescent="0.3">
      <c r="B8" s="1" t="s">
        <v>580</v>
      </c>
    </row>
    <row r="9" spans="1:10" x14ac:dyDescent="0.3">
      <c r="F9" s="1" t="s">
        <v>715</v>
      </c>
      <c r="G9" s="1" t="s">
        <v>719</v>
      </c>
    </row>
    <row r="10" spans="1:10" x14ac:dyDescent="0.3">
      <c r="A10" s="1" t="s">
        <v>612</v>
      </c>
      <c r="B10" s="1" t="s">
        <v>614</v>
      </c>
      <c r="G10" s="1" t="s">
        <v>717</v>
      </c>
    </row>
    <row r="11" spans="1:10" x14ac:dyDescent="0.3">
      <c r="A11" s="1" t="s">
        <v>662</v>
      </c>
      <c r="B11" s="1" t="s">
        <v>613</v>
      </c>
      <c r="G11" s="1" t="s">
        <v>716</v>
      </c>
    </row>
    <row r="12" spans="1:10" x14ac:dyDescent="0.3">
      <c r="B12" s="1" t="s">
        <v>616</v>
      </c>
      <c r="G12" s="1" t="s">
        <v>718</v>
      </c>
    </row>
    <row r="13" spans="1:10" x14ac:dyDescent="0.3">
      <c r="B13" s="1" t="s">
        <v>618</v>
      </c>
      <c r="G13" s="1" t="s">
        <v>720</v>
      </c>
    </row>
    <row r="14" spans="1:10" x14ac:dyDescent="0.3">
      <c r="G14" s="1" t="s">
        <v>714</v>
      </c>
    </row>
    <row r="15" spans="1:10" x14ac:dyDescent="0.3">
      <c r="A15" s="1" t="s">
        <v>620</v>
      </c>
      <c r="B15" s="1" t="s">
        <v>484</v>
      </c>
    </row>
    <row r="16" spans="1:10" x14ac:dyDescent="0.3">
      <c r="A16" s="1" t="s">
        <v>831</v>
      </c>
      <c r="B16" s="1" t="s">
        <v>374</v>
      </c>
      <c r="F16" s="1" t="s">
        <v>721</v>
      </c>
      <c r="G16" s="1" t="s">
        <v>769</v>
      </c>
    </row>
    <row r="17" spans="1:7" x14ac:dyDescent="0.3">
      <c r="B17" s="1" t="s">
        <v>390</v>
      </c>
      <c r="G17" s="1" t="s">
        <v>758</v>
      </c>
    </row>
    <row r="18" spans="1:7" x14ac:dyDescent="0.3">
      <c r="B18" s="1" t="s">
        <v>393</v>
      </c>
    </row>
    <row r="19" spans="1:7" x14ac:dyDescent="0.3">
      <c r="B19" s="1" t="s">
        <v>622</v>
      </c>
    </row>
    <row r="20" spans="1:7" x14ac:dyDescent="0.3">
      <c r="B20" s="1" t="s">
        <v>636</v>
      </c>
      <c r="F20" s="1" t="s">
        <v>722</v>
      </c>
      <c r="G20" s="1" t="s">
        <v>725</v>
      </c>
    </row>
    <row r="21" spans="1:7" x14ac:dyDescent="0.3">
      <c r="B21" s="1" t="s">
        <v>625</v>
      </c>
      <c r="G21" s="1" t="s">
        <v>726</v>
      </c>
    </row>
    <row r="22" spans="1:7" x14ac:dyDescent="0.3">
      <c r="B22" s="1" t="s">
        <v>641</v>
      </c>
      <c r="G22" s="1" t="s">
        <v>732</v>
      </c>
    </row>
    <row r="23" spans="1:7" x14ac:dyDescent="0.3">
      <c r="B23" s="1" t="s">
        <v>387</v>
      </c>
      <c r="G23" s="1" t="s">
        <v>724</v>
      </c>
    </row>
    <row r="24" spans="1:7" x14ac:dyDescent="0.3">
      <c r="B24" s="1" t="s">
        <v>365</v>
      </c>
      <c r="G24" s="1" t="s">
        <v>727</v>
      </c>
    </row>
    <row r="25" spans="1:7" x14ac:dyDescent="0.3">
      <c r="B25" s="1" t="s">
        <v>366</v>
      </c>
      <c r="G25" s="1" t="s">
        <v>755</v>
      </c>
    </row>
    <row r="26" spans="1:7" x14ac:dyDescent="0.3">
      <c r="B26" s="1" t="s">
        <v>449</v>
      </c>
    </row>
    <row r="27" spans="1:7" x14ac:dyDescent="0.3">
      <c r="B27" s="1" t="s">
        <v>624</v>
      </c>
      <c r="F27" s="1" t="s">
        <v>728</v>
      </c>
      <c r="G27" s="1" t="s">
        <v>729</v>
      </c>
    </row>
    <row r="28" spans="1:7" x14ac:dyDescent="0.3">
      <c r="G28" s="1" t="s">
        <v>730</v>
      </c>
    </row>
    <row r="29" spans="1:7" x14ac:dyDescent="0.3">
      <c r="A29" s="1" t="s">
        <v>627</v>
      </c>
      <c r="B29" s="1" t="s">
        <v>7</v>
      </c>
      <c r="G29" s="1" t="s">
        <v>734</v>
      </c>
    </row>
    <row r="30" spans="1:7" x14ac:dyDescent="0.3">
      <c r="A30" s="1" t="s">
        <v>664</v>
      </c>
      <c r="B30" s="1" t="s">
        <v>538</v>
      </c>
      <c r="G30" s="1" t="s">
        <v>731</v>
      </c>
    </row>
    <row r="31" spans="1:7" x14ac:dyDescent="0.3">
      <c r="B31" s="1" t="s">
        <v>628</v>
      </c>
      <c r="G31" s="1" t="s">
        <v>845</v>
      </c>
    </row>
    <row r="32" spans="1:7" x14ac:dyDescent="0.3">
      <c r="G32" s="1" t="s">
        <v>714</v>
      </c>
    </row>
    <row r="33" spans="1:7" x14ac:dyDescent="0.3">
      <c r="A33" s="1" t="s">
        <v>629</v>
      </c>
      <c r="B33" s="1" t="s">
        <v>630</v>
      </c>
    </row>
    <row r="34" spans="1:7" x14ac:dyDescent="0.3">
      <c r="A34" s="1" t="s">
        <v>821</v>
      </c>
      <c r="B34" s="1" t="s">
        <v>822</v>
      </c>
      <c r="F34" s="1" t="s">
        <v>736</v>
      </c>
      <c r="G34" s="1" t="s">
        <v>739</v>
      </c>
    </row>
    <row r="35" spans="1:7" x14ac:dyDescent="0.3">
      <c r="B35" s="1" t="s">
        <v>632</v>
      </c>
      <c r="G35" s="1" t="s">
        <v>737</v>
      </c>
    </row>
    <row r="36" spans="1:7" x14ac:dyDescent="0.3">
      <c r="B36" s="1" t="s">
        <v>823</v>
      </c>
      <c r="G36" s="1" t="s">
        <v>738</v>
      </c>
    </row>
    <row r="37" spans="1:7" x14ac:dyDescent="0.3">
      <c r="B37" s="1" t="s">
        <v>633</v>
      </c>
      <c r="G37" s="1" t="s">
        <v>740</v>
      </c>
    </row>
    <row r="38" spans="1:7" x14ac:dyDescent="0.3">
      <c r="B38" s="1" t="s">
        <v>634</v>
      </c>
    </row>
    <row r="39" spans="1:7" x14ac:dyDescent="0.3">
      <c r="B39" s="1" t="s">
        <v>824</v>
      </c>
      <c r="F39" s="1" t="s">
        <v>741</v>
      </c>
      <c r="G39" s="1" t="s">
        <v>742</v>
      </c>
    </row>
    <row r="40" spans="1:7" x14ac:dyDescent="0.3">
      <c r="B40" s="1" t="s">
        <v>825</v>
      </c>
      <c r="G40" s="1" t="s">
        <v>743</v>
      </c>
    </row>
    <row r="41" spans="1:7" x14ac:dyDescent="0.3">
      <c r="B41" s="1" t="s">
        <v>826</v>
      </c>
      <c r="G41" s="1" t="s">
        <v>746</v>
      </c>
    </row>
    <row r="42" spans="1:7" x14ac:dyDescent="0.3">
      <c r="B42" s="1" t="s">
        <v>635</v>
      </c>
      <c r="G42" s="1" t="s">
        <v>772</v>
      </c>
    </row>
    <row r="43" spans="1:7" x14ac:dyDescent="0.3">
      <c r="B43" s="1" t="s">
        <v>827</v>
      </c>
      <c r="G43" s="1" t="s">
        <v>764</v>
      </c>
    </row>
    <row r="44" spans="1:7" x14ac:dyDescent="0.3">
      <c r="B44" s="1" t="s">
        <v>652</v>
      </c>
      <c r="G44" s="1" t="s">
        <v>773</v>
      </c>
    </row>
    <row r="45" spans="1:7" x14ac:dyDescent="0.3">
      <c r="B45" s="1" t="s">
        <v>637</v>
      </c>
      <c r="G45" s="1" t="s">
        <v>748</v>
      </c>
    </row>
    <row r="46" spans="1:7" x14ac:dyDescent="0.3">
      <c r="B46" s="1" t="s">
        <v>656</v>
      </c>
    </row>
    <row r="47" spans="1:7" x14ac:dyDescent="0.3">
      <c r="B47" s="1" t="s">
        <v>639</v>
      </c>
      <c r="F47" s="1" t="s">
        <v>749</v>
      </c>
      <c r="G47" s="1" t="s">
        <v>752</v>
      </c>
    </row>
    <row r="48" spans="1:7" x14ac:dyDescent="0.3">
      <c r="B48" s="1" t="s">
        <v>640</v>
      </c>
      <c r="G48" s="1" t="s">
        <v>763</v>
      </c>
    </row>
    <row r="49" spans="1:7" x14ac:dyDescent="0.3">
      <c r="B49" s="1" t="s">
        <v>643</v>
      </c>
      <c r="G49" s="1" t="s">
        <v>764</v>
      </c>
    </row>
    <row r="50" spans="1:7" x14ac:dyDescent="0.3">
      <c r="B50" s="1" t="s">
        <v>644</v>
      </c>
      <c r="G50" s="1" t="s">
        <v>773</v>
      </c>
    </row>
    <row r="51" spans="1:7" x14ac:dyDescent="0.3">
      <c r="B51" s="1" t="s">
        <v>645</v>
      </c>
      <c r="G51" s="1" t="s">
        <v>754</v>
      </c>
    </row>
    <row r="52" spans="1:7" x14ac:dyDescent="0.3">
      <c r="B52" s="1" t="s">
        <v>646</v>
      </c>
      <c r="G52" s="1" t="s">
        <v>748</v>
      </c>
    </row>
    <row r="53" spans="1:7" x14ac:dyDescent="0.3">
      <c r="B53" s="1" t="s">
        <v>648</v>
      </c>
    </row>
    <row r="54" spans="1:7" x14ac:dyDescent="0.3">
      <c r="F54" s="1" t="s">
        <v>756</v>
      </c>
      <c r="G54" s="1" t="s">
        <v>846</v>
      </c>
    </row>
    <row r="55" spans="1:7" x14ac:dyDescent="0.3">
      <c r="A55" s="1" t="s">
        <v>833</v>
      </c>
      <c r="B55" s="1" t="s">
        <v>655</v>
      </c>
      <c r="G55" s="1" t="s">
        <v>758</v>
      </c>
    </row>
    <row r="56" spans="1:7" x14ac:dyDescent="0.3">
      <c r="A56" s="1" t="s">
        <v>836</v>
      </c>
      <c r="B56" s="1" t="s">
        <v>653</v>
      </c>
    </row>
    <row r="57" spans="1:7" x14ac:dyDescent="0.3">
      <c r="B57" s="1" t="s">
        <v>654</v>
      </c>
      <c r="F57" s="1" t="s">
        <v>759</v>
      </c>
      <c r="G57" s="1" t="s">
        <v>775</v>
      </c>
    </row>
    <row r="58" spans="1:7" x14ac:dyDescent="0.3">
      <c r="B58" s="1" t="s">
        <v>830</v>
      </c>
      <c r="G58" s="1" t="s">
        <v>762</v>
      </c>
    </row>
    <row r="59" spans="1:7" x14ac:dyDescent="0.3">
      <c r="G59" s="1" t="s">
        <v>764</v>
      </c>
    </row>
    <row r="60" spans="1:7" x14ac:dyDescent="0.3">
      <c r="A60" s="1" t="s">
        <v>834</v>
      </c>
      <c r="B60" s="1" t="s">
        <v>630</v>
      </c>
      <c r="G60" s="1" t="s">
        <v>776</v>
      </c>
    </row>
    <row r="61" spans="1:7" x14ac:dyDescent="0.3">
      <c r="A61" s="1" t="s">
        <v>837</v>
      </c>
      <c r="B61" s="1" t="s">
        <v>822</v>
      </c>
      <c r="G61" s="1" t="s">
        <v>754</v>
      </c>
    </row>
    <row r="62" spans="1:7" x14ac:dyDescent="0.3">
      <c r="B62" s="1" t="s">
        <v>632</v>
      </c>
      <c r="G62" s="1" t="s">
        <v>748</v>
      </c>
    </row>
    <row r="63" spans="1:7" x14ac:dyDescent="0.3">
      <c r="B63" s="1" t="s">
        <v>823</v>
      </c>
    </row>
    <row r="64" spans="1:7" x14ac:dyDescent="0.3">
      <c r="B64" s="1" t="s">
        <v>633</v>
      </c>
      <c r="F64" s="1" t="s">
        <v>765</v>
      </c>
      <c r="G64" s="1" t="s">
        <v>847</v>
      </c>
    </row>
    <row r="65" spans="2:7" x14ac:dyDescent="0.3">
      <c r="B65" s="1" t="s">
        <v>634</v>
      </c>
      <c r="G65" s="1" t="s">
        <v>766</v>
      </c>
    </row>
    <row r="66" spans="2:7" x14ac:dyDescent="0.3">
      <c r="B66" s="1" t="s">
        <v>825</v>
      </c>
      <c r="G66" s="1" t="s">
        <v>764</v>
      </c>
    </row>
    <row r="67" spans="2:7" x14ac:dyDescent="0.3">
      <c r="B67" s="1" t="s">
        <v>835</v>
      </c>
      <c r="G67" s="1" t="s">
        <v>754</v>
      </c>
    </row>
    <row r="68" spans="2:7" x14ac:dyDescent="0.3">
      <c r="B68" s="1" t="s">
        <v>826</v>
      </c>
      <c r="G68" s="1" t="s">
        <v>768</v>
      </c>
    </row>
    <row r="69" spans="2:7" x14ac:dyDescent="0.3">
      <c r="B69" s="1" t="s">
        <v>635</v>
      </c>
    </row>
    <row r="70" spans="2:7" x14ac:dyDescent="0.3">
      <c r="B70" s="1" t="s">
        <v>827</v>
      </c>
    </row>
    <row r="71" spans="2:7" x14ac:dyDescent="0.3">
      <c r="B71" s="1" t="s">
        <v>392</v>
      </c>
    </row>
    <row r="72" spans="2:7" x14ac:dyDescent="0.3">
      <c r="B72" s="1" t="s">
        <v>621</v>
      </c>
    </row>
    <row r="73" spans="2:7" x14ac:dyDescent="0.3">
      <c r="B73" s="1" t="s">
        <v>394</v>
      </c>
    </row>
    <row r="74" spans="2:7" x14ac:dyDescent="0.3">
      <c r="B74" s="1" t="s">
        <v>623</v>
      </c>
    </row>
    <row r="75" spans="2:7" x14ac:dyDescent="0.3">
      <c r="B75" s="1" t="s">
        <v>650</v>
      </c>
    </row>
    <row r="76" spans="2:7" x14ac:dyDescent="0.3">
      <c r="B76" s="1" t="s">
        <v>820</v>
      </c>
    </row>
    <row r="77" spans="2:7" x14ac:dyDescent="0.3">
      <c r="B77" s="1" t="s">
        <v>651</v>
      </c>
    </row>
    <row r="78" spans="2:7" x14ac:dyDescent="0.3">
      <c r="B78" s="1" t="s">
        <v>828</v>
      </c>
    </row>
    <row r="79" spans="2:7" x14ac:dyDescent="0.3">
      <c r="B79" s="1" t="s">
        <v>652</v>
      </c>
    </row>
    <row r="80" spans="2:7" x14ac:dyDescent="0.3">
      <c r="B80" s="1" t="s">
        <v>637</v>
      </c>
    </row>
    <row r="81" spans="2:2" x14ac:dyDescent="0.3">
      <c r="B81" s="1" t="s">
        <v>655</v>
      </c>
    </row>
    <row r="82" spans="2:2" x14ac:dyDescent="0.3">
      <c r="B82" s="1" t="s">
        <v>656</v>
      </c>
    </row>
    <row r="83" spans="2:2" x14ac:dyDescent="0.3">
      <c r="B83" s="1" t="s">
        <v>658</v>
      </c>
    </row>
    <row r="84" spans="2:2" x14ac:dyDescent="0.3">
      <c r="B84" s="1" t="s">
        <v>626</v>
      </c>
    </row>
    <row r="85" spans="2:2" x14ac:dyDescent="0.3">
      <c r="B85" s="1" t="s">
        <v>659</v>
      </c>
    </row>
    <row r="86" spans="2:2" x14ac:dyDescent="0.3">
      <c r="B86" s="1" t="s">
        <v>829</v>
      </c>
    </row>
    <row r="87" spans="2:2" x14ac:dyDescent="0.3">
      <c r="B87" s="1" t="s">
        <v>660</v>
      </c>
    </row>
    <row r="88" spans="2:2" x14ac:dyDescent="0.3">
      <c r="B88" s="1" t="s">
        <v>639</v>
      </c>
    </row>
    <row r="89" spans="2:2" x14ac:dyDescent="0.3">
      <c r="B89" s="1" t="s">
        <v>640</v>
      </c>
    </row>
    <row r="90" spans="2:2" x14ac:dyDescent="0.3">
      <c r="B90" s="1" t="s">
        <v>643</v>
      </c>
    </row>
    <row r="91" spans="2:2" x14ac:dyDescent="0.3">
      <c r="B91" s="1" t="s">
        <v>644</v>
      </c>
    </row>
    <row r="92" spans="2:2" x14ac:dyDescent="0.3">
      <c r="B92" s="1" t="s">
        <v>645</v>
      </c>
    </row>
    <row r="93" spans="2:2" x14ac:dyDescent="0.3">
      <c r="B93" s="1" t="s">
        <v>646</v>
      </c>
    </row>
    <row r="94" spans="2:2" x14ac:dyDescent="0.3">
      <c r="B94" s="1" t="s">
        <v>648</v>
      </c>
    </row>
    <row r="95" spans="2:2" x14ac:dyDescent="0.3">
      <c r="B95" s="1" t="s">
        <v>653</v>
      </c>
    </row>
    <row r="96" spans="2:2" x14ac:dyDescent="0.3">
      <c r="B96" s="1" t="s">
        <v>654</v>
      </c>
    </row>
    <row r="97" spans="1:2" x14ac:dyDescent="0.3">
      <c r="B97" s="1" t="s">
        <v>830</v>
      </c>
    </row>
    <row r="99" spans="1:2" x14ac:dyDescent="0.3">
      <c r="A99" s="1" t="s">
        <v>1023</v>
      </c>
      <c r="B99" s="1" t="s">
        <v>471</v>
      </c>
    </row>
    <row r="100" spans="1:2" x14ac:dyDescent="0.3">
      <c r="A100" s="1" t="s">
        <v>1024</v>
      </c>
    </row>
    <row r="101" spans="1:2" x14ac:dyDescent="0.3">
      <c r="A101" s="1" t="s">
        <v>1025</v>
      </c>
    </row>
    <row r="102" spans="1:2" x14ac:dyDescent="0.3">
      <c r="A102" s="1" t="s">
        <v>1022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2C30C5-9B65-405B-85C4-0F2FF7E95C2B}">
  <dimension ref="A1:I69"/>
  <sheetViews>
    <sheetView topLeftCell="A34" workbookViewId="0">
      <selection sqref="A1:B52"/>
    </sheetView>
  </sheetViews>
  <sheetFormatPr defaultRowHeight="14.4" x14ac:dyDescent="0.3"/>
  <cols>
    <col min="1" max="1" width="16.5546875" style="1" bestFit="1" customWidth="1"/>
    <col min="2" max="2" width="9.88671875" style="1" bestFit="1" customWidth="1"/>
    <col min="3" max="4" width="8.88671875" style="1"/>
    <col min="5" max="5" width="23.33203125" style="1" bestFit="1" customWidth="1"/>
    <col min="6" max="16384" width="8.88671875" style="1"/>
  </cols>
  <sheetData>
    <row r="1" spans="1:9" x14ac:dyDescent="0.3">
      <c r="A1" s="1" t="s">
        <v>601</v>
      </c>
      <c r="B1" s="1" t="s">
        <v>602</v>
      </c>
      <c r="E1" s="1" t="s">
        <v>705</v>
      </c>
      <c r="F1" s="1" t="s">
        <v>706</v>
      </c>
      <c r="I1" s="1" t="s">
        <v>818</v>
      </c>
    </row>
    <row r="2" spans="1:9" x14ac:dyDescent="0.3">
      <c r="A2" s="1" t="s">
        <v>603</v>
      </c>
      <c r="B2" s="1" t="s">
        <v>559</v>
      </c>
      <c r="E2" s="1" t="s">
        <v>770</v>
      </c>
      <c r="F2" s="1" t="s">
        <v>778</v>
      </c>
      <c r="I2" s="1" t="s">
        <v>842</v>
      </c>
    </row>
    <row r="3" spans="1:9" x14ac:dyDescent="0.3">
      <c r="A3" s="1" t="s">
        <v>681</v>
      </c>
      <c r="B3" s="1" t="s">
        <v>434</v>
      </c>
      <c r="F3" s="1" t="s">
        <v>713</v>
      </c>
    </row>
    <row r="4" spans="1:9" x14ac:dyDescent="0.3">
      <c r="B4" s="1" t="s">
        <v>0</v>
      </c>
      <c r="F4" s="1" t="s">
        <v>712</v>
      </c>
    </row>
    <row r="5" spans="1:9" x14ac:dyDescent="0.3">
      <c r="B5" s="1" t="s">
        <v>666</v>
      </c>
      <c r="F5" s="1" t="s">
        <v>710</v>
      </c>
    </row>
    <row r="6" spans="1:9" x14ac:dyDescent="0.3">
      <c r="B6" s="1" t="s">
        <v>665</v>
      </c>
      <c r="F6" s="1" t="s">
        <v>779</v>
      </c>
    </row>
    <row r="7" spans="1:9" x14ac:dyDescent="0.3">
      <c r="F7" s="1" t="s">
        <v>755</v>
      </c>
    </row>
    <row r="8" spans="1:9" x14ac:dyDescent="0.3">
      <c r="A8" s="1" t="s">
        <v>667</v>
      </c>
      <c r="B8" s="1" t="s">
        <v>669</v>
      </c>
    </row>
    <row r="9" spans="1:9" x14ac:dyDescent="0.3">
      <c r="A9" s="1" t="s">
        <v>682</v>
      </c>
      <c r="B9" s="1" t="s">
        <v>668</v>
      </c>
      <c r="E9" s="1" t="s">
        <v>715</v>
      </c>
      <c r="F9" s="1" t="s">
        <v>780</v>
      </c>
    </row>
    <row r="10" spans="1:9" x14ac:dyDescent="0.3">
      <c r="F10" s="1" t="s">
        <v>781</v>
      </c>
    </row>
    <row r="11" spans="1:9" x14ac:dyDescent="0.3">
      <c r="A11" s="1" t="s">
        <v>612</v>
      </c>
      <c r="B11" s="1" t="s">
        <v>614</v>
      </c>
      <c r="F11" s="1" t="s">
        <v>717</v>
      </c>
    </row>
    <row r="12" spans="1:9" x14ac:dyDescent="0.3">
      <c r="A12" s="1" t="s">
        <v>682</v>
      </c>
      <c r="B12" s="1" t="s">
        <v>613</v>
      </c>
      <c r="F12" s="1" t="s">
        <v>782</v>
      </c>
    </row>
    <row r="13" spans="1:9" x14ac:dyDescent="0.3">
      <c r="F13" s="1" t="s">
        <v>731</v>
      </c>
    </row>
    <row r="14" spans="1:9" x14ac:dyDescent="0.3">
      <c r="A14" s="1" t="s">
        <v>620</v>
      </c>
      <c r="B14" s="1" t="s">
        <v>395</v>
      </c>
      <c r="F14" s="1" t="s">
        <v>748</v>
      </c>
    </row>
    <row r="15" spans="1:9" x14ac:dyDescent="0.3">
      <c r="A15" s="1" t="s">
        <v>680</v>
      </c>
      <c r="B15" s="1" t="s">
        <v>396</v>
      </c>
    </row>
    <row r="16" spans="1:9" x14ac:dyDescent="0.3">
      <c r="B16" s="1" t="s">
        <v>397</v>
      </c>
      <c r="E16" s="1" t="s">
        <v>721</v>
      </c>
      <c r="F16" s="1" t="s">
        <v>769</v>
      </c>
    </row>
    <row r="17" spans="2:6" x14ac:dyDescent="0.3">
      <c r="B17" s="1" t="s">
        <v>674</v>
      </c>
      <c r="F17" s="1" t="s">
        <v>758</v>
      </c>
    </row>
    <row r="18" spans="2:6" x14ac:dyDescent="0.3">
      <c r="B18" s="1" t="s">
        <v>670</v>
      </c>
    </row>
    <row r="19" spans="2:6" x14ac:dyDescent="0.3">
      <c r="B19" s="1" t="s">
        <v>426</v>
      </c>
      <c r="E19" s="1" t="s">
        <v>722</v>
      </c>
      <c r="F19" s="1" t="s">
        <v>783</v>
      </c>
    </row>
    <row r="20" spans="2:6" x14ac:dyDescent="0.3">
      <c r="B20" s="1" t="s">
        <v>671</v>
      </c>
      <c r="F20" s="1" t="s">
        <v>784</v>
      </c>
    </row>
    <row r="21" spans="2:6" x14ac:dyDescent="0.3">
      <c r="B21" s="1" t="s">
        <v>672</v>
      </c>
      <c r="F21" s="1" t="s">
        <v>785</v>
      </c>
    </row>
    <row r="22" spans="2:6" x14ac:dyDescent="0.3">
      <c r="B22" s="1" t="s">
        <v>673</v>
      </c>
      <c r="F22" s="1" t="s">
        <v>786</v>
      </c>
    </row>
    <row r="23" spans="2:6" x14ac:dyDescent="0.3">
      <c r="B23" s="1" t="s">
        <v>678</v>
      </c>
      <c r="F23" s="1" t="s">
        <v>768</v>
      </c>
    </row>
    <row r="24" spans="2:6" x14ac:dyDescent="0.3">
      <c r="B24" s="1" t="s">
        <v>466</v>
      </c>
    </row>
    <row r="25" spans="2:6" x14ac:dyDescent="0.3">
      <c r="B25" s="1" t="s">
        <v>464</v>
      </c>
      <c r="E25" s="1" t="s">
        <v>728</v>
      </c>
      <c r="F25" s="1" t="s">
        <v>787</v>
      </c>
    </row>
    <row r="26" spans="2:6" x14ac:dyDescent="0.3">
      <c r="B26" s="1" t="s">
        <v>675</v>
      </c>
      <c r="F26" s="1" t="s">
        <v>788</v>
      </c>
    </row>
    <row r="27" spans="2:6" x14ac:dyDescent="0.3">
      <c r="B27" s="1" t="s">
        <v>431</v>
      </c>
      <c r="F27" s="1" t="s">
        <v>789</v>
      </c>
    </row>
    <row r="28" spans="2:6" x14ac:dyDescent="0.3">
      <c r="B28" s="1" t="s">
        <v>453</v>
      </c>
      <c r="F28" s="1" t="s">
        <v>790</v>
      </c>
    </row>
    <row r="29" spans="2:6" x14ac:dyDescent="0.3">
      <c r="B29" s="1" t="s">
        <v>372</v>
      </c>
      <c r="F29" s="1" t="s">
        <v>768</v>
      </c>
    </row>
    <row r="30" spans="2:6" x14ac:dyDescent="0.3">
      <c r="B30" s="1" t="s">
        <v>498</v>
      </c>
    </row>
    <row r="31" spans="2:6" x14ac:dyDescent="0.3">
      <c r="B31" s="1" t="s">
        <v>676</v>
      </c>
      <c r="E31" s="1" t="s">
        <v>736</v>
      </c>
      <c r="F31" s="1" t="s">
        <v>772</v>
      </c>
    </row>
    <row r="32" spans="2:6" x14ac:dyDescent="0.3">
      <c r="B32" s="1" t="s">
        <v>679</v>
      </c>
      <c r="F32" s="1" t="s">
        <v>791</v>
      </c>
    </row>
    <row r="33" spans="1:6" x14ac:dyDescent="0.3">
      <c r="B33" s="1" t="s">
        <v>677</v>
      </c>
      <c r="F33" s="1" t="s">
        <v>754</v>
      </c>
    </row>
    <row r="34" spans="1:6" x14ac:dyDescent="0.3">
      <c r="F34" s="1" t="s">
        <v>740</v>
      </c>
    </row>
    <row r="35" spans="1:6" x14ac:dyDescent="0.3">
      <c r="A35" s="1" t="s">
        <v>627</v>
      </c>
      <c r="B35" s="1" t="s">
        <v>7</v>
      </c>
    </row>
    <row r="36" spans="1:6" x14ac:dyDescent="0.3">
      <c r="A36" s="1" t="s">
        <v>664</v>
      </c>
      <c r="B36" s="1" t="s">
        <v>538</v>
      </c>
      <c r="E36" s="1" t="s">
        <v>741</v>
      </c>
      <c r="F36" s="1" t="s">
        <v>793</v>
      </c>
    </row>
    <row r="37" spans="1:6" x14ac:dyDescent="0.3">
      <c r="B37" s="1" t="s">
        <v>628</v>
      </c>
      <c r="F37" s="1" t="s">
        <v>794</v>
      </c>
    </row>
    <row r="38" spans="1:6" x14ac:dyDescent="0.3">
      <c r="F38" s="1" t="s">
        <v>795</v>
      </c>
    </row>
    <row r="39" spans="1:6" x14ac:dyDescent="0.3">
      <c r="A39" s="1" t="s">
        <v>683</v>
      </c>
      <c r="B39" s="1" t="s">
        <v>695</v>
      </c>
      <c r="F39" s="1" t="s">
        <v>792</v>
      </c>
    </row>
    <row r="40" spans="1:6" x14ac:dyDescent="0.3">
      <c r="A40" s="1" t="s">
        <v>1034</v>
      </c>
      <c r="B40" s="1" t="s">
        <v>698</v>
      </c>
      <c r="F40" s="1" t="s">
        <v>796</v>
      </c>
    </row>
    <row r="41" spans="1:6" x14ac:dyDescent="0.3">
      <c r="B41" s="1" t="s">
        <v>838</v>
      </c>
      <c r="F41" s="1" t="s">
        <v>748</v>
      </c>
    </row>
    <row r="42" spans="1:6" x14ac:dyDescent="0.3">
      <c r="B42" s="1" t="s">
        <v>839</v>
      </c>
    </row>
    <row r="43" spans="1:6" x14ac:dyDescent="0.3">
      <c r="B43" s="1" t="s">
        <v>702</v>
      </c>
      <c r="E43" s="1" t="s">
        <v>749</v>
      </c>
      <c r="F43" s="1" t="s">
        <v>797</v>
      </c>
    </row>
    <row r="44" spans="1:6" x14ac:dyDescent="0.3">
      <c r="B44" s="1" t="s">
        <v>840</v>
      </c>
      <c r="F44" s="1" t="s">
        <v>798</v>
      </c>
    </row>
    <row r="45" spans="1:6" x14ac:dyDescent="0.3">
      <c r="B45" s="1" t="s">
        <v>684</v>
      </c>
      <c r="F45" s="1" t="s">
        <v>799</v>
      </c>
    </row>
    <row r="46" spans="1:6" x14ac:dyDescent="0.3">
      <c r="B46" s="1" t="s">
        <v>685</v>
      </c>
      <c r="F46" s="1" t="s">
        <v>800</v>
      </c>
    </row>
    <row r="47" spans="1:6" x14ac:dyDescent="0.3">
      <c r="B47" s="1" t="s">
        <v>697</v>
      </c>
      <c r="F47" s="1" t="s">
        <v>763</v>
      </c>
    </row>
    <row r="48" spans="1:6" x14ac:dyDescent="0.3">
      <c r="B48" s="1" t="s">
        <v>686</v>
      </c>
      <c r="F48" s="1" t="s">
        <v>801</v>
      </c>
    </row>
    <row r="49" spans="2:6" x14ac:dyDescent="0.3">
      <c r="B49" s="1" t="s">
        <v>687</v>
      </c>
      <c r="F49" s="1" t="s">
        <v>735</v>
      </c>
    </row>
    <row r="50" spans="2:6" x14ac:dyDescent="0.3">
      <c r="B50" s="1" t="s">
        <v>841</v>
      </c>
    </row>
    <row r="51" spans="2:6" x14ac:dyDescent="0.3">
      <c r="B51" s="1" t="s">
        <v>688</v>
      </c>
      <c r="E51" s="1" t="s">
        <v>756</v>
      </c>
      <c r="F51" s="1" t="s">
        <v>802</v>
      </c>
    </row>
    <row r="52" spans="2:6" x14ac:dyDescent="0.3">
      <c r="B52" s="1" t="s">
        <v>689</v>
      </c>
      <c r="F52" s="1" t="s">
        <v>758</v>
      </c>
    </row>
    <row r="54" spans="2:6" x14ac:dyDescent="0.3">
      <c r="E54" s="1" t="s">
        <v>759</v>
      </c>
      <c r="F54" s="1" t="s">
        <v>803</v>
      </c>
    </row>
    <row r="55" spans="2:6" x14ac:dyDescent="0.3">
      <c r="F55" s="1" t="s">
        <v>804</v>
      </c>
    </row>
    <row r="56" spans="2:6" x14ac:dyDescent="0.3">
      <c r="F56" s="1" t="s">
        <v>805</v>
      </c>
    </row>
    <row r="57" spans="2:6" x14ac:dyDescent="0.3">
      <c r="F57" s="1" t="s">
        <v>801</v>
      </c>
    </row>
    <row r="58" spans="2:6" x14ac:dyDescent="0.3">
      <c r="F58" s="1" t="s">
        <v>754</v>
      </c>
    </row>
    <row r="59" spans="2:6" x14ac:dyDescent="0.3">
      <c r="F59" s="1" t="s">
        <v>748</v>
      </c>
    </row>
    <row r="61" spans="2:6" x14ac:dyDescent="0.3">
      <c r="E61" s="1" t="s">
        <v>765</v>
      </c>
      <c r="F61" s="1" t="s">
        <v>806</v>
      </c>
    </row>
    <row r="62" spans="2:6" x14ac:dyDescent="0.3">
      <c r="F62" s="1" t="s">
        <v>807</v>
      </c>
    </row>
    <row r="63" spans="2:6" x14ac:dyDescent="0.3">
      <c r="F63" s="1" t="s">
        <v>801</v>
      </c>
    </row>
    <row r="64" spans="2:6" x14ac:dyDescent="0.3">
      <c r="F64" s="1" t="s">
        <v>754</v>
      </c>
    </row>
    <row r="65" spans="1:6" x14ac:dyDescent="0.3">
      <c r="F65" s="1" t="s">
        <v>755</v>
      </c>
    </row>
    <row r="68" spans="1:6" x14ac:dyDescent="0.3">
      <c r="A68" s="1" t="s">
        <v>1023</v>
      </c>
    </row>
    <row r="69" spans="1:6" x14ac:dyDescent="0.3">
      <c r="A69" s="1" t="s">
        <v>603</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4C377-ADA9-4BCC-BB75-8B13368D1BDB}">
  <dimension ref="A1:F69"/>
  <sheetViews>
    <sheetView topLeftCell="A22" workbookViewId="0">
      <selection activeCell="A37" sqref="A37:B43"/>
    </sheetView>
  </sheetViews>
  <sheetFormatPr defaultRowHeight="14.4" x14ac:dyDescent="0.3"/>
  <cols>
    <col min="1" max="1" width="15.21875" style="1" bestFit="1" customWidth="1"/>
    <col min="2" max="2" width="9.88671875" style="1" bestFit="1" customWidth="1"/>
    <col min="3" max="4" width="8.88671875" style="1"/>
    <col min="5" max="5" width="23.33203125" style="1" bestFit="1" customWidth="1"/>
    <col min="6" max="16384" width="8.88671875" style="1"/>
  </cols>
  <sheetData>
    <row r="1" spans="1:6" x14ac:dyDescent="0.3">
      <c r="A1" s="1" t="s">
        <v>601</v>
      </c>
      <c r="B1" s="1" t="s">
        <v>602</v>
      </c>
      <c r="E1" s="1" t="s">
        <v>705</v>
      </c>
      <c r="F1" s="1" t="s">
        <v>706</v>
      </c>
    </row>
    <row r="2" spans="1:6" x14ac:dyDescent="0.3">
      <c r="A2" s="1" t="s">
        <v>603</v>
      </c>
      <c r="B2" s="1" t="s">
        <v>559</v>
      </c>
      <c r="E2" s="1" t="s">
        <v>770</v>
      </c>
      <c r="F2" s="1" t="s">
        <v>778</v>
      </c>
    </row>
    <row r="3" spans="1:6" x14ac:dyDescent="0.3">
      <c r="A3" s="1" t="s">
        <v>681</v>
      </c>
      <c r="B3" s="1" t="s">
        <v>434</v>
      </c>
      <c r="F3" s="1" t="s">
        <v>713</v>
      </c>
    </row>
    <row r="4" spans="1:6" x14ac:dyDescent="0.3">
      <c r="B4" s="1" t="s">
        <v>0</v>
      </c>
      <c r="F4" s="1" t="s">
        <v>712</v>
      </c>
    </row>
    <row r="5" spans="1:6" x14ac:dyDescent="0.3">
      <c r="B5" s="1" t="s">
        <v>666</v>
      </c>
      <c r="F5" s="1" t="s">
        <v>710</v>
      </c>
    </row>
    <row r="6" spans="1:6" x14ac:dyDescent="0.3">
      <c r="B6" s="1" t="s">
        <v>665</v>
      </c>
      <c r="F6" s="1" t="s">
        <v>779</v>
      </c>
    </row>
    <row r="7" spans="1:6" x14ac:dyDescent="0.3">
      <c r="F7" s="1" t="s">
        <v>755</v>
      </c>
    </row>
    <row r="8" spans="1:6" x14ac:dyDescent="0.3">
      <c r="A8" s="1" t="s">
        <v>667</v>
      </c>
      <c r="B8" s="1" t="s">
        <v>669</v>
      </c>
    </row>
    <row r="9" spans="1:6" x14ac:dyDescent="0.3">
      <c r="A9" s="1" t="s">
        <v>664</v>
      </c>
      <c r="B9" s="1" t="s">
        <v>690</v>
      </c>
      <c r="E9" s="1" t="s">
        <v>715</v>
      </c>
      <c r="F9" s="1" t="s">
        <v>780</v>
      </c>
    </row>
    <row r="10" spans="1:6" x14ac:dyDescent="0.3">
      <c r="B10" s="1" t="s">
        <v>668</v>
      </c>
      <c r="F10" s="1" t="s">
        <v>781</v>
      </c>
    </row>
    <row r="11" spans="1:6" x14ac:dyDescent="0.3">
      <c r="F11" s="1" t="s">
        <v>717</v>
      </c>
    </row>
    <row r="12" spans="1:6" x14ac:dyDescent="0.3">
      <c r="A12" s="1" t="s">
        <v>612</v>
      </c>
      <c r="B12" s="1" t="s">
        <v>614</v>
      </c>
      <c r="F12" s="1" t="s">
        <v>782</v>
      </c>
    </row>
    <row r="13" spans="1:6" x14ac:dyDescent="0.3">
      <c r="A13" s="1" t="s">
        <v>682</v>
      </c>
      <c r="B13" s="1" t="s">
        <v>613</v>
      </c>
      <c r="F13" s="1" t="s">
        <v>731</v>
      </c>
    </row>
    <row r="14" spans="1:6" x14ac:dyDescent="0.3">
      <c r="F14" s="1" t="s">
        <v>748</v>
      </c>
    </row>
    <row r="15" spans="1:6" x14ac:dyDescent="0.3">
      <c r="A15" s="1" t="s">
        <v>620</v>
      </c>
      <c r="B15" s="1" t="s">
        <v>395</v>
      </c>
    </row>
    <row r="16" spans="1:6" x14ac:dyDescent="0.3">
      <c r="A16" s="1" t="s">
        <v>704</v>
      </c>
      <c r="B16" s="1" t="s">
        <v>396</v>
      </c>
      <c r="E16" s="1" t="s">
        <v>721</v>
      </c>
      <c r="F16" s="1" t="s">
        <v>769</v>
      </c>
    </row>
    <row r="17" spans="2:6" x14ac:dyDescent="0.3">
      <c r="B17" s="1" t="s">
        <v>397</v>
      </c>
      <c r="F17" s="1" t="s">
        <v>758</v>
      </c>
    </row>
    <row r="18" spans="2:6" x14ac:dyDescent="0.3">
      <c r="B18" s="1" t="s">
        <v>674</v>
      </c>
    </row>
    <row r="19" spans="2:6" x14ac:dyDescent="0.3">
      <c r="B19" s="1" t="s">
        <v>670</v>
      </c>
      <c r="E19" s="1" t="s">
        <v>722</v>
      </c>
      <c r="F19" s="1" t="s">
        <v>783</v>
      </c>
    </row>
    <row r="20" spans="2:6" x14ac:dyDescent="0.3">
      <c r="B20" s="1" t="s">
        <v>691</v>
      </c>
      <c r="F20" s="1" t="s">
        <v>784</v>
      </c>
    </row>
    <row r="21" spans="2:6" x14ac:dyDescent="0.3">
      <c r="B21" s="1" t="s">
        <v>692</v>
      </c>
      <c r="F21" s="1" t="s">
        <v>785</v>
      </c>
    </row>
    <row r="22" spans="2:6" x14ac:dyDescent="0.3">
      <c r="B22" s="1" t="s">
        <v>693</v>
      </c>
      <c r="C22" s="1" t="s">
        <v>677</v>
      </c>
      <c r="F22" s="1" t="s">
        <v>786</v>
      </c>
    </row>
    <row r="23" spans="2:6" x14ac:dyDescent="0.3">
      <c r="B23" s="1" t="s">
        <v>678</v>
      </c>
      <c r="F23" s="1" t="s">
        <v>768</v>
      </c>
    </row>
    <row r="24" spans="2:6" x14ac:dyDescent="0.3">
      <c r="B24" s="1" t="s">
        <v>466</v>
      </c>
    </row>
    <row r="25" spans="2:6" x14ac:dyDescent="0.3">
      <c r="B25" s="1" t="s">
        <v>464</v>
      </c>
      <c r="E25" s="1" t="s">
        <v>728</v>
      </c>
      <c r="F25" s="1" t="s">
        <v>787</v>
      </c>
    </row>
    <row r="26" spans="2:6" x14ac:dyDescent="0.3">
      <c r="B26" s="1" t="s">
        <v>694</v>
      </c>
      <c r="F26" s="1" t="s">
        <v>788</v>
      </c>
    </row>
    <row r="27" spans="2:6" x14ac:dyDescent="0.3">
      <c r="B27" s="1" t="s">
        <v>431</v>
      </c>
      <c r="F27" s="1" t="s">
        <v>808</v>
      </c>
    </row>
    <row r="28" spans="2:6" x14ac:dyDescent="0.3">
      <c r="B28" s="1" t="s">
        <v>453</v>
      </c>
      <c r="F28" s="1" t="s">
        <v>789</v>
      </c>
    </row>
    <row r="29" spans="2:6" x14ac:dyDescent="0.3">
      <c r="B29" s="1" t="s">
        <v>372</v>
      </c>
      <c r="F29" s="1" t="s">
        <v>768</v>
      </c>
    </row>
    <row r="30" spans="2:6" x14ac:dyDescent="0.3">
      <c r="B30" s="1" t="s">
        <v>498</v>
      </c>
    </row>
    <row r="31" spans="2:6" x14ac:dyDescent="0.3">
      <c r="B31" s="1" t="s">
        <v>676</v>
      </c>
      <c r="E31" s="1" t="s">
        <v>736</v>
      </c>
      <c r="F31" s="1" t="s">
        <v>772</v>
      </c>
    </row>
    <row r="32" spans="2:6" x14ac:dyDescent="0.3">
      <c r="F32" s="1" t="s">
        <v>791</v>
      </c>
    </row>
    <row r="33" spans="1:6" x14ac:dyDescent="0.3">
      <c r="A33" s="1" t="s">
        <v>627</v>
      </c>
      <c r="B33" s="1" t="s">
        <v>7</v>
      </c>
      <c r="F33" s="1" t="s">
        <v>754</v>
      </c>
    </row>
    <row r="34" spans="1:6" x14ac:dyDescent="0.3">
      <c r="A34" s="1" t="s">
        <v>664</v>
      </c>
      <c r="B34" s="1" t="s">
        <v>538</v>
      </c>
      <c r="F34" s="1" t="s">
        <v>740</v>
      </c>
    </row>
    <row r="35" spans="1:6" x14ac:dyDescent="0.3">
      <c r="B35" s="1" t="s">
        <v>628</v>
      </c>
    </row>
    <row r="36" spans="1:6" x14ac:dyDescent="0.3">
      <c r="E36" s="1" t="s">
        <v>741</v>
      </c>
      <c r="F36" s="1" t="s">
        <v>793</v>
      </c>
    </row>
    <row r="37" spans="1:6" x14ac:dyDescent="0.3">
      <c r="F37" s="1" t="s">
        <v>809</v>
      </c>
    </row>
    <row r="38" spans="1:6" x14ac:dyDescent="0.3">
      <c r="F38" s="1" t="s">
        <v>792</v>
      </c>
    </row>
    <row r="39" spans="1:6" x14ac:dyDescent="0.3">
      <c r="F39" s="1" t="s">
        <v>754</v>
      </c>
    </row>
    <row r="40" spans="1:6" x14ac:dyDescent="0.3">
      <c r="F40" s="1" t="s">
        <v>738</v>
      </c>
    </row>
    <row r="41" spans="1:6" x14ac:dyDescent="0.3">
      <c r="F41" s="1" t="s">
        <v>748</v>
      </c>
    </row>
    <row r="43" spans="1:6" x14ac:dyDescent="0.3">
      <c r="E43" s="1" t="s">
        <v>749</v>
      </c>
      <c r="F43" s="1" t="s">
        <v>797</v>
      </c>
    </row>
    <row r="44" spans="1:6" x14ac:dyDescent="0.3">
      <c r="F44" s="1" t="s">
        <v>799</v>
      </c>
    </row>
    <row r="45" spans="1:6" x14ac:dyDescent="0.3">
      <c r="F45" s="1" t="s">
        <v>800</v>
      </c>
    </row>
    <row r="46" spans="1:6" x14ac:dyDescent="0.3">
      <c r="F46" s="1" t="s">
        <v>763</v>
      </c>
    </row>
    <row r="47" spans="1:6" x14ac:dyDescent="0.3">
      <c r="F47" s="1" t="s">
        <v>810</v>
      </c>
    </row>
    <row r="48" spans="1:6" x14ac:dyDescent="0.3">
      <c r="F48" s="1" t="s">
        <v>754</v>
      </c>
    </row>
    <row r="49" spans="5:6" x14ac:dyDescent="0.3">
      <c r="F49" s="1" t="s">
        <v>735</v>
      </c>
    </row>
    <row r="51" spans="5:6" x14ac:dyDescent="0.3">
      <c r="E51" s="1" t="s">
        <v>756</v>
      </c>
      <c r="F51" s="1" t="s">
        <v>843</v>
      </c>
    </row>
    <row r="52" spans="5:6" x14ac:dyDescent="0.3">
      <c r="F52" s="1" t="s">
        <v>758</v>
      </c>
    </row>
    <row r="54" spans="5:6" x14ac:dyDescent="0.3">
      <c r="E54" s="1" t="s">
        <v>759</v>
      </c>
      <c r="F54" s="1" t="s">
        <v>812</v>
      </c>
    </row>
    <row r="55" spans="5:6" x14ac:dyDescent="0.3">
      <c r="F55" s="1" t="s">
        <v>813</v>
      </c>
    </row>
    <row r="56" spans="5:6" x14ac:dyDescent="0.3">
      <c r="F56" s="1" t="s">
        <v>805</v>
      </c>
    </row>
    <row r="57" spans="5:6" x14ac:dyDescent="0.3">
      <c r="F57" s="1" t="s">
        <v>810</v>
      </c>
    </row>
    <row r="58" spans="5:6" x14ac:dyDescent="0.3">
      <c r="F58" s="1" t="s">
        <v>810</v>
      </c>
    </row>
    <row r="59" spans="5:6" x14ac:dyDescent="0.3">
      <c r="F59" s="1" t="s">
        <v>748</v>
      </c>
    </row>
    <row r="61" spans="5:6" x14ac:dyDescent="0.3">
      <c r="E61" s="1" t="s">
        <v>765</v>
      </c>
      <c r="F61" s="1" t="s">
        <v>844</v>
      </c>
    </row>
    <row r="62" spans="5:6" x14ac:dyDescent="0.3">
      <c r="F62" s="1" t="s">
        <v>806</v>
      </c>
    </row>
    <row r="63" spans="5:6" x14ac:dyDescent="0.3">
      <c r="F63" s="1" t="s">
        <v>810</v>
      </c>
    </row>
    <row r="64" spans="5:6" x14ac:dyDescent="0.3">
      <c r="F64" s="1" t="s">
        <v>810</v>
      </c>
    </row>
    <row r="65" spans="1:6" x14ac:dyDescent="0.3">
      <c r="F65" s="1" t="s">
        <v>755</v>
      </c>
    </row>
    <row r="68" spans="1:6" x14ac:dyDescent="0.3">
      <c r="A68" s="1" t="s">
        <v>1023</v>
      </c>
    </row>
    <row r="69" spans="1:6" x14ac:dyDescent="0.3">
      <c r="A69" s="1" t="s">
        <v>603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Courses</vt:lpstr>
      <vt:lpstr>Course Group Courses</vt:lpstr>
      <vt:lpstr>Course Groups</vt:lpstr>
      <vt:lpstr>BSCP 22</vt:lpstr>
      <vt:lpstr>BSCS 22</vt:lpstr>
      <vt:lpstr>BSCYS 22</vt:lpstr>
      <vt:lpstr>BSIT 22</vt:lpstr>
      <vt:lpstr>BSCP 23</vt:lpstr>
      <vt:lpstr>BSCS 23</vt:lpstr>
      <vt:lpstr>BSCYS 23</vt:lpstr>
      <vt:lpstr>BSIT 23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Anderson</dc:creator>
  <cp:lastModifiedBy>Matthew Anderson</cp:lastModifiedBy>
  <dcterms:created xsi:type="dcterms:W3CDTF">2025-11-21T03:56:24Z</dcterms:created>
  <dcterms:modified xsi:type="dcterms:W3CDTF">2025-12-01T00:58:00Z</dcterms:modified>
</cp:coreProperties>
</file>