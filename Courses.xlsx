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matta\Documents - Local\School\USF-Classes\COP 4710 Database Design\Project 2\p2\"/>
    </mc:Choice>
  </mc:AlternateContent>
  <xr:revisionPtr revIDLastSave="0" documentId="13_ncr:1_{E366F066-407A-4B01-8AAB-55B732749505}" xr6:coauthVersionLast="47" xr6:coauthVersionMax="47" xr10:uidLastSave="{00000000-0000-0000-0000-000000000000}"/>
  <bookViews>
    <workbookView xWindow="-108" yWindow="-108" windowWidth="23256" windowHeight="12456" xr2:uid="{76E141BA-BBC7-4BC2-BBE4-0378952866CB}"/>
  </bookViews>
  <sheets>
    <sheet name="Courses" sheetId="5" r:id="rId1"/>
    <sheet name="Course Groups" sheetId="7" r:id="rId2"/>
    <sheet name="BSCP 22" sheetId="1" r:id="rId3"/>
    <sheet name="BSCP 23" sheetId="8" r:id="rId4"/>
    <sheet name="BSCS 22" sheetId="2" r:id="rId5"/>
    <sheet name="BSCS 23" sheetId="9" r:id="rId6"/>
    <sheet name="BSCYS 22" sheetId="4" r:id="rId7"/>
    <sheet name="BSCYS 23" sheetId="10" r:id="rId8"/>
    <sheet name="BSIT 22" sheetId="3" r:id="rId9"/>
    <sheet name="BSIT 23" sheetId="11"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4" i="5" l="1"/>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3" i="5"/>
</calcChain>
</file>

<file path=xl/sharedStrings.xml><?xml version="1.0" encoding="utf-8"?>
<sst xmlns="http://schemas.openxmlformats.org/spreadsheetml/2006/main" count="2169" uniqueCount="1055">
  <si>
    <t>Natural Science Elective</t>
  </si>
  <si>
    <t>SGEN - General Education Core Natural Sciences Elective</t>
  </si>
  <si>
    <t>Prefix</t>
  </si>
  <si>
    <t>Number</t>
  </si>
  <si>
    <t>Title</t>
  </si>
  <si>
    <t>Credits</t>
  </si>
  <si>
    <t>SGEC - General Education Core Communication</t>
  </si>
  <si>
    <t>SGEH - General Education Core Humanities</t>
  </si>
  <si>
    <t>SGEM - General Education Core Mathematics</t>
  </si>
  <si>
    <t>SGES - General Education Core Social Sciences</t>
  </si>
  <si>
    <t>ENC 1101</t>
  </si>
  <si>
    <t>ANT 2000 Introduction to Anthropology</t>
  </si>
  <si>
    <t>AST 2002 Descriptive Astronomy</t>
  </si>
  <si>
    <t>BSC 1005 General Biology</t>
  </si>
  <si>
    <t>CHM 2020 Chemistry for Liberal Studies</t>
  </si>
  <si>
    <t>CHM 2045 General Chemistry I</t>
  </si>
  <si>
    <t>ECO 2013 Macroeconomics</t>
  </si>
  <si>
    <t>ENC 1101 English Composition I</t>
  </si>
  <si>
    <t>ESC 2000 Introduction to Earth Science</t>
  </si>
  <si>
    <t>EVR 2001 Introduction to Environmental Science</t>
  </si>
  <si>
    <t>HUM 1020 Introduction to Humanities</t>
  </si>
  <si>
    <t>LIT 2000 Introduction to Literature</t>
  </si>
  <si>
    <t>MAC 1105 College Algebra</t>
  </si>
  <si>
    <t>MAC 2311 Calculus I</t>
  </si>
  <si>
    <t>Finite Mathematics</t>
  </si>
  <si>
    <t>Mathematics for Liberal Arts</t>
  </si>
  <si>
    <t>Music and Culture</t>
  </si>
  <si>
    <t>PHI 2010 Introduction to Philosophy</t>
  </si>
  <si>
    <t>PHY 2020 Fundamentals of Physics</t>
  </si>
  <si>
    <t>Conceptual Physics</t>
  </si>
  <si>
    <t>PHY 2048 General Physics with Calculus</t>
  </si>
  <si>
    <t>PHY 2053 General Physics I</t>
  </si>
  <si>
    <t>American National Government</t>
  </si>
  <si>
    <t>POS 2041 American Government</t>
  </si>
  <si>
    <t>PSY 2012 Introduction to Psychology</t>
  </si>
  <si>
    <t xml:space="preserve">STA 2023 Statistical Methods </t>
  </si>
  <si>
    <t>SYG 2000 Principles of Sociology</t>
  </si>
  <si>
    <t>Theater and Culture</t>
  </si>
  <si>
    <t>Art and Culture</t>
  </si>
  <si>
    <t>Cellular Processes</t>
  </si>
  <si>
    <t>AMH 2020 Introductory Survey Since 1877</t>
  </si>
  <si>
    <t>American History II</t>
  </si>
  <si>
    <t>ARH 2000 Art and Culture</t>
  </si>
  <si>
    <t>MUL 2010 Music and Culture</t>
  </si>
  <si>
    <t>THE 2000 Theater and Culture</t>
  </si>
  <si>
    <t>MGF 1106 Finite Mathematics</t>
  </si>
  <si>
    <t>MGF 1107 Mathematics for Liberal Arts</t>
  </si>
  <si>
    <t>BSC 2010 Cellular Processes</t>
  </si>
  <si>
    <t>BSC 2085 Anatomy and Physiology I For Health</t>
  </si>
  <si>
    <t>CAP</t>
  </si>
  <si>
    <t>4034</t>
  </si>
  <si>
    <t>Computer Animation Fundamentals</t>
  </si>
  <si>
    <t>4063</t>
  </si>
  <si>
    <t>Web Application Design</t>
  </si>
  <si>
    <t>4103</t>
  </si>
  <si>
    <t>Mobile Biometrics</t>
  </si>
  <si>
    <t>4111</t>
  </si>
  <si>
    <t>Introduction to Augmented and Virtual Reality</t>
  </si>
  <si>
    <t>4136</t>
  </si>
  <si>
    <t>Malware Analysis and Reverse Engineering</t>
  </si>
  <si>
    <t>4160</t>
  </si>
  <si>
    <t>Brain-Computer Interfaces</t>
  </si>
  <si>
    <t>4401</t>
  </si>
  <si>
    <t>Image Processing Fundamentals</t>
  </si>
  <si>
    <t>4410</t>
  </si>
  <si>
    <t>Computer Vision</t>
  </si>
  <si>
    <t>4621</t>
  </si>
  <si>
    <t>Introduction to Artificial Intelligence</t>
  </si>
  <si>
    <t>4628</t>
  </si>
  <si>
    <t>Affective Computing</t>
  </si>
  <si>
    <t>4637</t>
  </si>
  <si>
    <t>Automated Reasoning and Theorem Proving</t>
  </si>
  <si>
    <t>4641</t>
  </si>
  <si>
    <t>Natural Language Processing</t>
  </si>
  <si>
    <t>4662</t>
  </si>
  <si>
    <t>Introduction to Robotics</t>
  </si>
  <si>
    <t>4744</t>
  </si>
  <si>
    <t>Interactive Data Visualization</t>
  </si>
  <si>
    <t>4773</t>
  </si>
  <si>
    <t>Social Media Mining</t>
  </si>
  <si>
    <t>CDA</t>
  </si>
  <si>
    <t>3103</t>
  </si>
  <si>
    <t>Computer Organization</t>
  </si>
  <si>
    <t>3201</t>
  </si>
  <si>
    <t>Computer Logic and Design</t>
  </si>
  <si>
    <t>3201L</t>
  </si>
  <si>
    <t xml:space="preserve">Computer Logic and Design Lab </t>
  </si>
  <si>
    <t>4203</t>
  </si>
  <si>
    <t>Computer System Design</t>
  </si>
  <si>
    <t>4203L</t>
  </si>
  <si>
    <t xml:space="preserve">Computer System Design Lab </t>
  </si>
  <si>
    <t>4205</t>
  </si>
  <si>
    <t>Computer Architecture</t>
  </si>
  <si>
    <t>4205L</t>
  </si>
  <si>
    <t xml:space="preserve">Computer Architecture Lab </t>
  </si>
  <si>
    <t>4213</t>
  </si>
  <si>
    <t>CMOS-VLSI Design</t>
  </si>
  <si>
    <t>4213L</t>
  </si>
  <si>
    <t xml:space="preserve">CMOS-VLSI Design Lab </t>
  </si>
  <si>
    <t>4253</t>
  </si>
  <si>
    <t>Field Programmable Gate Array System Design and Analysis</t>
  </si>
  <si>
    <t>4321</t>
  </si>
  <si>
    <t>Cryptographic Hardware and Embedded Systems</t>
  </si>
  <si>
    <t>4322</t>
  </si>
  <si>
    <t>Principles of Secure Hardware Design</t>
  </si>
  <si>
    <t>4323</t>
  </si>
  <si>
    <t>Practical Hardware Security</t>
  </si>
  <si>
    <t>Control of Mobile Robots</t>
  </si>
  <si>
    <t>CEN</t>
  </si>
  <si>
    <t>3722</t>
  </si>
  <si>
    <t>Human Computer Interfaces for Information Technology</t>
  </si>
  <si>
    <t>4020</t>
  </si>
  <si>
    <t>Software Engineering</t>
  </si>
  <si>
    <t>4072</t>
  </si>
  <si>
    <t>Software Testing</t>
  </si>
  <si>
    <t>4360</t>
  </si>
  <si>
    <t>Mobile Applications Development for IT</t>
  </si>
  <si>
    <t>CGS</t>
  </si>
  <si>
    <t>1540</t>
  </si>
  <si>
    <t>Introduction to Databases for Information Technology</t>
  </si>
  <si>
    <t>3303</t>
  </si>
  <si>
    <t>IT Concepts</t>
  </si>
  <si>
    <t>3853</t>
  </si>
  <si>
    <t>Web Systems for IT</t>
  </si>
  <si>
    <t>CHM</t>
  </si>
  <si>
    <t>2045</t>
  </si>
  <si>
    <t>General Chemistry I</t>
  </si>
  <si>
    <t>2045L</t>
  </si>
  <si>
    <t xml:space="preserve">General Chemistry I Laboratory </t>
  </si>
  <si>
    <t>CHS</t>
  </si>
  <si>
    <t>2440</t>
  </si>
  <si>
    <t>General Chemistry for Engineers</t>
  </si>
  <si>
    <t>2440L</t>
  </si>
  <si>
    <t xml:space="preserve">General Chemistry for Engineers Lab </t>
  </si>
  <si>
    <t>CIS</t>
  </si>
  <si>
    <t>3213</t>
  </si>
  <si>
    <t>Foundations of Cybersecurity</t>
  </si>
  <si>
    <t>3360</t>
  </si>
  <si>
    <t>Principles of Information Security</t>
  </si>
  <si>
    <t>3362</t>
  </si>
  <si>
    <t>Cryptography and Information Security</t>
  </si>
  <si>
    <t>3363</t>
  </si>
  <si>
    <t>Information Technology Systems Security</t>
  </si>
  <si>
    <t>3433</t>
  </si>
  <si>
    <t>System Integration and Architecture for IT</t>
  </si>
  <si>
    <t>4083</t>
  </si>
  <si>
    <t>Cloud Computing for IT</t>
  </si>
  <si>
    <t>4200</t>
  </si>
  <si>
    <t>Penetration Testing for IT</t>
  </si>
  <si>
    <t>Cyber Forensics and Investigations</t>
  </si>
  <si>
    <t>4212</t>
  </si>
  <si>
    <t>Privacy-Preserving and Trustworthy Cyber-Infrastructures</t>
  </si>
  <si>
    <t>4219</t>
  </si>
  <si>
    <t>Human Aspects of Cybersecurity</t>
  </si>
  <si>
    <t>4250</t>
  </si>
  <si>
    <t>Ethical Issues and Professional Conduct</t>
  </si>
  <si>
    <t>Ethics for Information Technology</t>
  </si>
  <si>
    <t>4345</t>
  </si>
  <si>
    <t>Big Data Storage and Analysis with Hadoop</t>
  </si>
  <si>
    <t>4361</t>
  </si>
  <si>
    <t>Information Assurance and Security Management for IT</t>
  </si>
  <si>
    <t>4364</t>
  </si>
  <si>
    <t>Cryptology and Information Security</t>
  </si>
  <si>
    <t>4368</t>
  </si>
  <si>
    <t>Database Security and Audits</t>
  </si>
  <si>
    <t>4622</t>
  </si>
  <si>
    <t>Hands-on Cybersecurity</t>
  </si>
  <si>
    <t>4623</t>
  </si>
  <si>
    <t>Practical Cybersecurity</t>
  </si>
  <si>
    <t>4900</t>
  </si>
  <si>
    <t>Independent Study in Computer Science</t>
  </si>
  <si>
    <t>1-5</t>
  </si>
  <si>
    <t>4910</t>
  </si>
  <si>
    <t>Computer Science and Engineering Project</t>
  </si>
  <si>
    <t>4915</t>
  </si>
  <si>
    <t>Supervised Research in Computer Science</t>
  </si>
  <si>
    <t>4930</t>
  </si>
  <si>
    <t>Special Topics in Computer Science I</t>
  </si>
  <si>
    <t>1-3</t>
  </si>
  <si>
    <t>4935</t>
  </si>
  <si>
    <t>Senior Project in Information Technology</t>
  </si>
  <si>
    <t>4940</t>
  </si>
  <si>
    <t>Industry Internship</t>
  </si>
  <si>
    <t>0-6</t>
  </si>
  <si>
    <t>4947</t>
  </si>
  <si>
    <t>Industry Internship for IT</t>
  </si>
  <si>
    <t>CNT</t>
  </si>
  <si>
    <t>4004</t>
  </si>
  <si>
    <t>Computer Networks I</t>
  </si>
  <si>
    <t>4104</t>
  </si>
  <si>
    <t>Computer Information Networks for Information Technology</t>
  </si>
  <si>
    <t>4104L</t>
  </si>
  <si>
    <t xml:space="preserve">Computer Information Networks Laboratory for Information Technology </t>
  </si>
  <si>
    <t>4403</t>
  </si>
  <si>
    <t>Network Security and Firewalls</t>
  </si>
  <si>
    <t>4411</t>
  </si>
  <si>
    <t>Computing and Network Security</t>
  </si>
  <si>
    <t>4419</t>
  </si>
  <si>
    <t>Secure Coding</t>
  </si>
  <si>
    <t>4603</t>
  </si>
  <si>
    <t>System Administration and Maintenance for Information Technology</t>
  </si>
  <si>
    <t>4716C</t>
  </si>
  <si>
    <t xml:space="preserve">Network Programming for IT </t>
  </si>
  <si>
    <t>4800</t>
  </si>
  <si>
    <t>Network Science</t>
  </si>
  <si>
    <t>COP</t>
  </si>
  <si>
    <t>2510</t>
  </si>
  <si>
    <t>Programming Concepts</t>
  </si>
  <si>
    <t>2512</t>
  </si>
  <si>
    <t>Programming Fundamentals for Information Technology</t>
  </si>
  <si>
    <t>2513</t>
  </si>
  <si>
    <t>Object Oriented Programming for Information Technology</t>
  </si>
  <si>
    <t>3353</t>
  </si>
  <si>
    <t>User-Level Introduction to Linux for IT</t>
  </si>
  <si>
    <t>3514</t>
  </si>
  <si>
    <t>Program Design</t>
  </si>
  <si>
    <t>3515</t>
  </si>
  <si>
    <t>Advanced Program Design for Information Technology</t>
  </si>
  <si>
    <t>Programming Languages</t>
  </si>
  <si>
    <t>4365</t>
  </si>
  <si>
    <t>Software System Development</t>
  </si>
  <si>
    <t>Adv Object-Oriented Programming for IT</t>
  </si>
  <si>
    <t>4520</t>
  </si>
  <si>
    <t>Computing in Massively Parallel Systems</t>
  </si>
  <si>
    <t>4530</t>
  </si>
  <si>
    <t>Data Structures</t>
  </si>
  <si>
    <t>4538</t>
  </si>
  <si>
    <t>Data Structures and Algorithms for Information Technology</t>
  </si>
  <si>
    <t>4564</t>
  </si>
  <si>
    <t>Application Maintenance &amp; Debugging for IT</t>
  </si>
  <si>
    <t>4600</t>
  </si>
  <si>
    <t>Operating Systems</t>
  </si>
  <si>
    <t>4620</t>
  </si>
  <si>
    <t>Compilers</t>
  </si>
  <si>
    <t>4656</t>
  </si>
  <si>
    <t>Software Development for Mobile Devices</t>
  </si>
  <si>
    <t>4703</t>
  </si>
  <si>
    <t>Advanced Database Systems for Information Technology</t>
  </si>
  <si>
    <t>4710</t>
  </si>
  <si>
    <t>Database Design</t>
  </si>
  <si>
    <t>4883</t>
  </si>
  <si>
    <t>Java Programming for Information Technology</t>
  </si>
  <si>
    <t>Independent Study in Information Technology</t>
  </si>
  <si>
    <t>4931</t>
  </si>
  <si>
    <t>Special Topics for Information Technology</t>
  </si>
  <si>
    <t>COT</t>
  </si>
  <si>
    <t>3100</t>
  </si>
  <si>
    <t>Introduction to Discrete Structures</t>
  </si>
  <si>
    <t>4210</t>
  </si>
  <si>
    <t>Automata Theory and Formal Languages</t>
  </si>
  <si>
    <t>4400</t>
  </si>
  <si>
    <t>Analysis of Algorithms</t>
  </si>
  <si>
    <t>4521</t>
  </si>
  <si>
    <t>Computational Geometry</t>
  </si>
  <si>
    <t>4601</t>
  </si>
  <si>
    <t>Quantum Computing and Quantum Algorithms</t>
  </si>
  <si>
    <t>CTS</t>
  </si>
  <si>
    <t>4337</t>
  </si>
  <si>
    <t>Linux Workstations System Administration for IT</t>
  </si>
  <si>
    <t>ECO</t>
  </si>
  <si>
    <t>2013</t>
  </si>
  <si>
    <t>Economic Principles (Macroeconomics)</t>
  </si>
  <si>
    <t>EDG</t>
  </si>
  <si>
    <t>3801</t>
  </si>
  <si>
    <t>Cybersecurity and the Everyday Citizen</t>
  </si>
  <si>
    <t>EEE</t>
  </si>
  <si>
    <t>3394</t>
  </si>
  <si>
    <t>Electrical Engineering Science I - Electronic Materials</t>
  </si>
  <si>
    <t>EGN</t>
  </si>
  <si>
    <t>3000</t>
  </si>
  <si>
    <t>Foundations of Engineering</t>
  </si>
  <si>
    <t>0-3</t>
  </si>
  <si>
    <t>3000L</t>
  </si>
  <si>
    <t xml:space="preserve">Foundations of Engineering Lab </t>
  </si>
  <si>
    <t>3373</t>
  </si>
  <si>
    <t>Electrical Systems I</t>
  </si>
  <si>
    <t>Modeling and Analysis of Engineering Systems</t>
  </si>
  <si>
    <t>3443</t>
  </si>
  <si>
    <t>Probability and Statistics for Engineers</t>
  </si>
  <si>
    <t>3615</t>
  </si>
  <si>
    <t>Engineering Economics with Social and Global Implications</t>
  </si>
  <si>
    <t>4450</t>
  </si>
  <si>
    <t>Introduction to Linear Systems</t>
  </si>
  <si>
    <t>ENC</t>
  </si>
  <si>
    <t>1101</t>
  </si>
  <si>
    <t>Composition I</t>
  </si>
  <si>
    <t>1102</t>
  </si>
  <si>
    <t>Composition II</t>
  </si>
  <si>
    <t>3246</t>
  </si>
  <si>
    <t>Communication for Engineers</t>
  </si>
  <si>
    <t>INR</t>
  </si>
  <si>
    <t>3033</t>
  </si>
  <si>
    <t>International Political Cultures</t>
  </si>
  <si>
    <t>ISM</t>
  </si>
  <si>
    <t>4041</t>
  </si>
  <si>
    <t>Global Cyber Ethics</t>
  </si>
  <si>
    <t>Information Security and IT Risk Management</t>
  </si>
  <si>
    <t>LIS</t>
  </si>
  <si>
    <t>4414</t>
  </si>
  <si>
    <t>Information Policy and Ethics</t>
  </si>
  <si>
    <t>4779</t>
  </si>
  <si>
    <t>Health Information Security</t>
  </si>
  <si>
    <t>MAC</t>
  </si>
  <si>
    <t>1147</t>
  </si>
  <si>
    <t>Precalculus Algebra and Trigonometry</t>
  </si>
  <si>
    <t>2281</t>
  </si>
  <si>
    <t>Engineering Calculus I</t>
  </si>
  <si>
    <t>2282</t>
  </si>
  <si>
    <t>Engineering Calculus II</t>
  </si>
  <si>
    <t>2283</t>
  </si>
  <si>
    <t>Engineering Calculus III</t>
  </si>
  <si>
    <t>2311</t>
  </si>
  <si>
    <t>Calculus I</t>
  </si>
  <si>
    <t>2312</t>
  </si>
  <si>
    <t>Calculus II</t>
  </si>
  <si>
    <t>2313</t>
  </si>
  <si>
    <t>Calculus III</t>
  </si>
  <si>
    <t>MAD</t>
  </si>
  <si>
    <t>2104</t>
  </si>
  <si>
    <t>Discrete Mathematics</t>
  </si>
  <si>
    <t>MAP</t>
  </si>
  <si>
    <t>2302</t>
  </si>
  <si>
    <t>Differential Equations</t>
  </si>
  <si>
    <t>PHY</t>
  </si>
  <si>
    <t>2020</t>
  </si>
  <si>
    <t>2048</t>
  </si>
  <si>
    <t>General Physics I - Calculus Based</t>
  </si>
  <si>
    <t>2048L</t>
  </si>
  <si>
    <t xml:space="preserve">General Physics I Laboratory </t>
  </si>
  <si>
    <t>2049</t>
  </si>
  <si>
    <t>General Physics II - Calculus Based</t>
  </si>
  <si>
    <t>2049L</t>
  </si>
  <si>
    <t xml:space="preserve">General Physics II Laboratory </t>
  </si>
  <si>
    <t>PSY</t>
  </si>
  <si>
    <t>2012</t>
  </si>
  <si>
    <t>Introduction to Psychological Science</t>
  </si>
  <si>
    <t>STA</t>
  </si>
  <si>
    <t>2023</t>
  </si>
  <si>
    <t>Introductory Statistics I</t>
  </si>
  <si>
    <t>ARH</t>
  </si>
  <si>
    <t>2000</t>
  </si>
  <si>
    <t>HUM</t>
  </si>
  <si>
    <t>1020</t>
  </si>
  <si>
    <t>Introduction to Humanities</t>
  </si>
  <si>
    <t>LIT</t>
  </si>
  <si>
    <t>Introduction to Literature</t>
  </si>
  <si>
    <t>MUL</t>
  </si>
  <si>
    <t>2010</t>
  </si>
  <si>
    <t>PHI</t>
  </si>
  <si>
    <t>Introduction to Philosophy</t>
  </si>
  <si>
    <t>THE</t>
  </si>
  <si>
    <t>1105</t>
  </si>
  <si>
    <t>College Algebra</t>
  </si>
  <si>
    <t>MGF</t>
  </si>
  <si>
    <t>1106</t>
  </si>
  <si>
    <t>1107</t>
  </si>
  <si>
    <t>AST</t>
  </si>
  <si>
    <t>2002</t>
  </si>
  <si>
    <t>Descriptive Astronomy</t>
  </si>
  <si>
    <t>BSC</t>
  </si>
  <si>
    <t>1005</t>
  </si>
  <si>
    <t>2085</t>
  </si>
  <si>
    <t>ESC</t>
  </si>
  <si>
    <t>Introduction to Earth Science</t>
  </si>
  <si>
    <t>EVR</t>
  </si>
  <si>
    <t>2001</t>
  </si>
  <si>
    <t>Introduction to Environmental Science</t>
  </si>
  <si>
    <t>2053</t>
  </si>
  <si>
    <t>General Physics I</t>
  </si>
  <si>
    <t>AMH</t>
  </si>
  <si>
    <t>ANT</t>
  </si>
  <si>
    <t>Introduction to Anthropology</t>
  </si>
  <si>
    <t>POS</t>
  </si>
  <si>
    <t>2041</t>
  </si>
  <si>
    <t>SYG</t>
  </si>
  <si>
    <t>Principles of Sociology</t>
  </si>
  <si>
    <t>A history of the United States with attention given to relevant developments in the Western Hemisphere from 1877 to the present.</t>
  </si>
  <si>
    <t>Description</t>
  </si>
  <si>
    <t>The cross-cultural study of the human species in biological and social perspective. Surveys the four major branches of anthropology: physical anthropology, archaeology, linguistic anthropology, and cultural anthropology.</t>
  </si>
  <si>
    <t>This course offers students an enhanced appreciation and understanding of art. Student will critically evaluate a broad range of imagery, media, artists, movements and historical periods in the visual arts.</t>
  </si>
  <si>
    <t>An introductory and overview of astronomy course. It is designed to introduce a broad range of topics in astronomy that will be discussed in greater detail in more advanced classes.</t>
  </si>
  <si>
    <t>Biological Principles for Non-Majors</t>
  </si>
  <si>
    <t>A comprehensive introduction to living systems, including the scientific basis of biology, cell structure and function, genetic mechanisms, human anatomy and physiology, and ecological and evolutionary processes.</t>
  </si>
  <si>
    <t>This course deals with biological systems at the cellular and subcellular levels. Topics include an introduction to biochemistry, cell structure and function, enzymes, respiration, mitosis and meiosis, genetics and gene expressi</t>
  </si>
  <si>
    <t>Prereq</t>
  </si>
  <si>
    <t>Coreq</t>
  </si>
  <si>
    <t>BSC 2010L</t>
  </si>
  <si>
    <t>2010L</t>
  </si>
  <si>
    <t>Cellular Processes Laboratory</t>
  </si>
  <si>
    <t>BSC 2010</t>
  </si>
  <si>
    <t>Laboratory portion of Biology I Cellular Processes relating to cellular and subcellular structure and function. Mitosis, meiosis, and Mendelian genetics will be stressed.</t>
  </si>
  <si>
    <t>Anatomy and Physiology I For Health Professionals</t>
  </si>
  <si>
    <t>BSC 2085L</t>
  </si>
  <si>
    <t>Introduction to the normal structure, function and selected pathological conditions for physiologic systems. Focus on understanding how the body functions in preparing for careers in nursing or healthrelated professions.</t>
  </si>
  <si>
    <t>2085L</t>
  </si>
  <si>
    <t>BSC 2085</t>
  </si>
  <si>
    <t>Laboratory exercises and virtual dissections linked to the basic content of Anatomy &amp; Physiology I for Health Professionals.</t>
  </si>
  <si>
    <t>COP 3514</t>
  </si>
  <si>
    <t>COP 4530</t>
  </si>
  <si>
    <t>An introductory course to computer animation. Topics include storyboarding, camera control, hierarchical character modeling, inverse kinematics, keyframing, motion capture, dynamic simulation, and facial animation.</t>
  </si>
  <si>
    <t>Analysis, design, and development of software that operates on web servers and web browsers, supporting multiple concurrent users.</t>
  </si>
  <si>
    <t>COP 3331</t>
  </si>
  <si>
    <t>This course introduces students to computer graphics techniques, computer vision techniques, and hardware designs that make augmented and virtual reality systems immersive.</t>
  </si>
  <si>
    <t>This course will introduce students to the technical definition of malware, to the various malware analysis techniques (including reverse engineering of malware), and how to mitigate a malware attack.</t>
  </si>
  <si>
    <t>COP 3515</t>
  </si>
  <si>
    <t>This course involves the exploration of new forms of Human-Computer Interaction (HCI) based on a passive measurement of neurophysiological states (cognitive and affective). These include measuring cognitive workload and affective engagement. Students will read research papers in several related disciplines (i.e. Neuroscience, Cognitive Psychology, Cognitive Science, Medical BCI, Computational Neuroscience, and others) and present and discuss them in the course. We will explore the uses of noninvasive ubiquitous electroencephalographic (EEG) brain technologies. Also, students will learn the basics of other brain imaging technologies such as nearinfrared spectroscopy (fNIRS) and Functional Magnetic Resonance Imaging (fMRI) and how they relate to the field of computing. We will also explore ways to use such measurements as a form of machine control</t>
  </si>
  <si>
    <t>CDA 3201</t>
  </si>
  <si>
    <t>Practical introduction to a range of fundamental image processing algorithms. Extensive programming, with emphasis on image analysis and transformation techniques. Image transformation and manipulation.</t>
  </si>
  <si>
    <t>Introduction to topics such as image formation, segmentation, feature extraction, matching, shape recovery, texture analysis, object recognition, and dynamic scene analysis.</t>
  </si>
  <si>
    <t>Introduction to Artificial Intelligence covers basic concepts, tools, and techniques used to produce artificial intelligence. Basic machine learning concepts. Use of different software tools for searching, reasoning and learning.</t>
  </si>
  <si>
    <t>The study of systems that can recognize, interpret, process, and simulate human affect. Topics may include physiology of emotion, lie detection, wearable devices, music, gaming, and ethical concerns associated with affective computing.</t>
  </si>
  <si>
    <t>This course covers the principles of automated reasoning/mechanical theorem proving. Topics to be covered include propositional logic, predicate logic, skolem standard forms, various resolution principles and methods, and non-classical logics.</t>
  </si>
  <si>
    <t>The concepts and principles of computer processing of natural language, including linguistic phenomena, formal methods, and applications.</t>
  </si>
  <si>
    <t>An introduction to the fundamentals of robotics. Students will learn the fundamentals of robotics including kinematics, inverse kinematics, Jacobian, velocity, configuration space, motion planning, and path planning algorithms.</t>
  </si>
  <si>
    <t>COP 4530, EGN 4450</t>
  </si>
  <si>
    <t>This course introduces the techniques used for developing effective visual analysis tools. The course covers principles from perception and design, and the algorithms used in visualizing a broad range of data types.</t>
  </si>
  <si>
    <t>This course introduces useful techniques to model, analyze, and understand large-scale social media, with focus on social network analysis, user modeling, bot detection, and dynamical processes over social and information networks.</t>
  </si>
  <si>
    <t>COP 4530, CDA 3201</t>
  </si>
  <si>
    <t>Introduction to computer hardware, logic elements and Boolean algebra, computer arithmetic, the central processing unit, assembly language programming, input/output, and memory.</t>
  </si>
  <si>
    <t>COP 2510</t>
  </si>
  <si>
    <t>CSE and EE majors. Others by special permission. Advanced coverage of Boolean Algebra, introduction to minimization of combinational logic circuits, analysis and synthesis of sequential circuits, testing of logic circuits and programmable logic devices.</t>
  </si>
  <si>
    <t>CDA 3103, COP 3514</t>
  </si>
  <si>
    <t>CDA 3201L</t>
  </si>
  <si>
    <t>Laboratory component of the Computer Logic and Design class.</t>
  </si>
  <si>
    <t>CDA 4203</t>
  </si>
  <si>
    <t>CDA 4205</t>
  </si>
  <si>
    <t>CDA 4213</t>
  </si>
  <si>
    <t>CEN 3722</t>
  </si>
  <si>
    <t>CGS 1540</t>
  </si>
  <si>
    <t>CGS 3303</t>
  </si>
  <si>
    <t>Design Methods, Top-Down design, Building Blocks, Instruction and addressing models, minicomputer design, interfacing.</t>
  </si>
  <si>
    <t>CDA 3201, CDA 3201L</t>
  </si>
  <si>
    <t>This lab introduces the student to the concept of system design. Several projects are given including building timing circuits, memory-based and communication circuits, and microcomputer-based designs.</t>
  </si>
  <si>
    <t>Principles of the design of computer systems, processors, memories, and switches. Consideration of the register transfer representation of a computer, ALU's and their implementation, control units, memory and I/O, and the hardware support of operation systems.</t>
  </si>
  <si>
    <t>Laboratory component of the Computer Architecture class.</t>
  </si>
  <si>
    <t>Covers analysis and design of CMOS processing technology, CMOS logic and circuit design, layout timing and delay, and power and thermal issues. CMOS transistor theory. VLSI system design, case studies and rapid prototype chip design.</t>
  </si>
  <si>
    <t>Scalable CMOS layout design, circuit extraction, transistor-level and lay-out level simulation, SPICE parameters/modeling, transistor sizing, standard and macro-cell based layout, static/dynamic CMOS, combinational/sequential block layout, memory I/O design.</t>
  </si>
  <si>
    <t>Covers analysis and design of digital systems using VHDL simulation. Provides experience with field programmable logic gates and gate arrays. Introduces the requirements for field programmable systems; testing of circuitry, and analysis of system design.</t>
  </si>
  <si>
    <t>CHM 2045</t>
  </si>
  <si>
    <t>CHS 2440</t>
  </si>
  <si>
    <t>Efficient hardware implementation of cryptographic algorithms is presented to meet the performance and cost requirements of computing platforms from handheld to server-level computers. Cryptographic implementation attacks and countermeasures are covered.</t>
  </si>
  <si>
    <t>This course introduces the fundamentals of hardware security for integrated circuits, intellectual property, and reconfigurable devices, including hardware security primitives, Trojans, physical and side-channel attacks, and emerging countermeasures.</t>
  </si>
  <si>
    <t>This course introduces practical aspects of hardware security for integrated circuits and reconfigurable hardware, with hands-on assignments introducing physical, side channel, and system-level attacks and countermeasures.</t>
  </si>
  <si>
    <t>Mobile Robotic Control Systems design and implementation. Includes microcontroller, sensor, and actuator control processes for localization and navigation. Team project development of software interface for robot control.</t>
  </si>
  <si>
    <t>The basics of HCI in terms of psychology, computers, and their integration into design and practice are discussed. A life-cycle development framework is presented where user needs, functionality, interaction, and usability are taken into account.</t>
  </si>
  <si>
    <t>An overview of software engineering techniques for producing high quality software. Student will participate in a software development team.</t>
  </si>
  <si>
    <t>The course provides the fundamental principles and tools for testing and validating large-scale software systems. The course is open to majors as well as non-majors.</t>
  </si>
  <si>
    <t>COP 2510, COP 4530</t>
  </si>
  <si>
    <t>The development architecture for mobile apps is presented as are a number of development tools. Students design and implement mobile apps of varying complexity with a focus on the project development process.</t>
  </si>
  <si>
    <t>An introduction to databases, their uses, design, and implementation with IT applications. Query languages, data organization, and modeling are covered. The course emphasizes standard practices for managing information.</t>
  </si>
  <si>
    <t>Elements of computers are discussed. Core areas of IT are introduced: human computer interaction, information management, networking, system administration and maintenance, system integration and architecture, and web systems and technologies.</t>
  </si>
  <si>
    <t>Examines how web sites are developed. Focus on client-side and server-side scripting including HTML, JavaScript, and CSS. A substantial project requiring the design and implementation of an online web site is required.</t>
  </si>
  <si>
    <t>Chemistry for Liberal Studies I</t>
  </si>
  <si>
    <t>This course is designed for liberal arts students to learn basic chemical principles. Students will learn about reactions, energy and the scientific method. The course will have an emphasis on the chemistry of global climate change.</t>
  </si>
  <si>
    <t>Principles and applications of chemistry including properties of substances and reactions, thermochemistry, atomic-molecular structure and bonding, periodic properties of elements and compounds.</t>
  </si>
  <si>
    <t>MAC 1105</t>
  </si>
  <si>
    <t>Laboratory portion of General Chemistry I. Introduction to laboratory techniques; study of properties of elements and compounds; synthesis and analysis of natural and commercial materials.</t>
  </si>
  <si>
    <t>CHM 2045 or CHS 2440</t>
  </si>
  <si>
    <t>CIS 3363</t>
  </si>
  <si>
    <t>Introduction to important concepts and principles of chemistry with emphasis on areas considered most relevant in an engineering context.</t>
  </si>
  <si>
    <t>MAC 1105+</t>
  </si>
  <si>
    <t>Laboratory portion of General Chemistry for Engineers. Introduction to laboratory techniques, study of properties of elements, synthesis and analysis of natural and commercial materials.</t>
  </si>
  <si>
    <t>The fundamentals of cyber security are introduced. Students learn to identify attack phases, understand the adversary's motivations, the resources and techniques they use, and the intended end-game. Techniques for mitigating threats are described.</t>
  </si>
  <si>
    <t>COP 2512</t>
  </si>
  <si>
    <t>Board review of Information Security and related elements. Includes terminology, history of the discipline, overview of information security program management. Suitable for IS, criminal justice, political science, accounting information systems students</t>
  </si>
  <si>
    <t>This course examines classical cryptography, entropy, stream and block ciphers, public key versus symmetric cryptography, one-way and trap-door functions, plus other specific tools and techniques in popular use.</t>
  </si>
  <si>
    <t>MAD 2104</t>
  </si>
  <si>
    <t>This course covers foundations of systems security, including availability, authentication, access control, network penetration/defense, reverse engineering, cyber physical systems, forensics, supply chain management security, and secure systems design.</t>
  </si>
  <si>
    <t>CIS 3213, COP 2513, MAD 2104</t>
  </si>
  <si>
    <t>Role of systems architecture in systems integration, performance, and effectiveness. Principles and concepts of "devops" (development operations) interplay between IT applications roll-out and related organizational processes.</t>
  </si>
  <si>
    <t>This is a hand-on class in the methods and technologies of cloud computing. Upon completion of this course students will be able to create, configure, build, deploy, and manage a variety of cloud based solutions.</t>
  </si>
  <si>
    <t>Penetration testing and related software tools are presented. Legalities and various cyber-attacks such distributed denial of service, man-in-the-middle, and password attacks are covered. Methods to correct security flaws are given.</t>
  </si>
  <si>
    <t>Teaches the methods of acquiring, preserving, retrieving, and presenting data that have been processed electronically and stored on computer media for use in legal proceedings. Focus on MS Windows systems.</t>
  </si>
  <si>
    <t>COP 2030, MAD 2104</t>
  </si>
  <si>
    <t>This course will explore emerging cyber-security technologies addressing security issues of cyberinfrastructures. It will cover privacy-enhancing and trustworthy techniques for cloud computing and internet of thing systems.</t>
  </si>
  <si>
    <t>This course will study the human aspects of cybersecurity and cover such topics as: identity management, social engineering, societal behaviors, privacy and security, and individual awareness and understanding of cybersecurity.</t>
  </si>
  <si>
    <t>This course introduces students to ethical issues and professional responsibilities arising in the computer sciences. Students will develop ethical solutions to real-world problems and present them.</t>
  </si>
  <si>
    <t>This course covers the professional code of ethics and a survey of ethical issues in computing such as intellectual property, security, privacy, and copyright. Class discussions cover ethical responsibilities of IT professionals and issues that are shaping our society.</t>
  </si>
  <si>
    <t>This is an introductory course for big data storage and analysis in Hadoop cluster. Topics include Hadoop file system, Hadoop cluster architectures, Hadoop ecosystems, and big data processing frameworks MapReduce, Spark, Pig and Hive.</t>
  </si>
  <si>
    <t>The CIANA model, information security management techniques, and security concerns are presented. Topics include access control systems, network security, security management practices, cryptography, disaster recovery planning, and others.</t>
  </si>
  <si>
    <t>Covers the fundamentals of computer security. The following topics are addressed: Network Security, Cryptography, Access Control, Security Architecture and Models, Applications and Systems Development, Vulnerability Assessment.</t>
  </si>
  <si>
    <t>COP 4600</t>
  </si>
  <si>
    <t>An in-depth look at database security concepts and auditing techniques. Hands-on approach when examining security techniques. Examines different security strategies and advancements in implementation as well as problem solving.</t>
  </si>
  <si>
    <t>COP 3718</t>
  </si>
  <si>
    <t>This course covers hands-on skills for cybersecurity -- how to perform common offense and defense activities on computer networks, penetration testing, software exploit basics, basic network forensics, and basics on incident response.</t>
  </si>
  <si>
    <t>COP 2513</t>
  </si>
  <si>
    <t>This course covers how to protect the security of realworld systems -- configuring host/network security settings, penetration testing, software exploit basics, and basics on incident response and forensics.</t>
  </si>
  <si>
    <t>Specialized independent study determined by the needs and interests of the student.</t>
  </si>
  <si>
    <t>Offers a focused team-based design experience incorporating appropriate engineering standards and multiple realistic constraints. Projects are proposed by industry and/or other partners and are completed within a defined development process.</t>
  </si>
  <si>
    <t>Supervised research determined by the needs and interests of the student.</t>
  </si>
  <si>
    <t>Special topics in computer science and computer engineering.</t>
  </si>
  <si>
    <t>This course is the capstone project for IT majors. Students are required to design, implement, and deliver a complete IT solution to a problem leveraging discipline-specific, critical thinking, and communication skills acquired in this major.</t>
  </si>
  <si>
    <t>Individual study as practical computer science and/or computer engineering work under industrial supervision with a faculty approved outline and endof-semester report.</t>
  </si>
  <si>
    <t>Practical information technology work under industrial supervision with a faculty-approved outline and endof-semester report.</t>
  </si>
  <si>
    <t>An introduction to the design and analysis of computer communication networks. Topics include application layer protocols, Internet protocols, network interfaces, local and wide area networks, wireless networks, bridging and routing, and current topics.</t>
  </si>
  <si>
    <t>Presents the design and analysis of computer networks. The emphasis is on application- and Internet-layer protocols. Network interfaces, Internet protocols, wireless networks, routing, and security issues are introduced.</t>
  </si>
  <si>
    <t>CNT 4104L</t>
  </si>
  <si>
    <t>This lab provides a hands-on introduction to computer networking and the protocols used to coordinate and control communications on them.</t>
  </si>
  <si>
    <t>CNT 4104</t>
  </si>
  <si>
    <t>COP 2030</t>
  </si>
  <si>
    <t>COP 3353</t>
  </si>
  <si>
    <t>This course surveys network security standards and emphasizes applications that are widely used on the Internet and for corporate networks. This course also examines Firewalls and related tools used to provide both network and perimeter security.</t>
  </si>
  <si>
    <t>The course is a study of fundamental concepts and principles of computing and network security. The course covers basic security topics, including symmetric and public key cryptography, digital signatures, hash functions,and network security protocols.</t>
  </si>
  <si>
    <t>COT 3100</t>
  </si>
  <si>
    <t>Principles and practices for secure computing and writing secure software, including software for performing information management and networking and communications.</t>
  </si>
  <si>
    <t>Examines the activities related to the selection, installation and management of computer systems. Covers concepts essential to the administration of OS, networks, and services. Covers system documentation, policies and procedures.</t>
  </si>
  <si>
    <t>This course presents the fundamentals of network programming in C# .NET. In this course, the student will learn how to use the Visual Studio development environment to create Windows client and server applications. Topics include network object oriented programming, the study of network protocols, client/server applications, peer-to-peer applications, ASP.NET, Web Services, cloud computing and an introduction to Windows 8 Phone development.</t>
  </si>
  <si>
    <t>This course introduces the science of networks via elements of graph theory and practical analysis of real-life datasets.</t>
  </si>
  <si>
    <t>Programming Concepts I</t>
  </si>
  <si>
    <t>This course covers basic programming concepts using the Python language for implementation and developing problem solving skills.</t>
  </si>
  <si>
    <t>An examination of a modern programming language emphasizing programming concepts and design methodology.</t>
  </si>
  <si>
    <t>MAC 2281 or MAC 2311</t>
  </si>
  <si>
    <t>An introduction to computer programming using a modern high-level language with IT applications. Topics include variables, types, expressions, and assignment, control structures, I/O, functions, and structured decomposition.</t>
  </si>
  <si>
    <t>An introduction to object oriented programming emphasizing an objects first approach with applications to IT. Objects, methods, and classes are studied in detail. Students design and implement object-oriented programs to solve IT problems.</t>
  </si>
  <si>
    <t>Design of a computer program using an ObjectOriented programming language. Extension of programming knowledge from a procedural language to an object-oriented language. Analysis of program requirements.</t>
  </si>
  <si>
    <t>Object Oriented Software Design</t>
  </si>
  <si>
    <t>CDA 3103</t>
  </si>
  <si>
    <t>Description Introduction to a modern Linux distribution; installation in a desktop-friendly virtualized environment, users and software packages management, usage of the shell for navigation, and text processing command line tools.</t>
  </si>
  <si>
    <t>The class extends students' programming knowledge by systematically considering the concepts involved in program design and creation. Students will also build upon their previous programming experience by learning to use the C programming language in a networked environment.</t>
  </si>
  <si>
    <t>Covers problem solving with an emphasis on the creation of programs to be developed and maintained in a variety of environments from small to large IT organizations. Concepts relating to program efficiency are studied.</t>
  </si>
  <si>
    <t>MAD 2104, COP 2513 or COP 2250</t>
  </si>
  <si>
    <t>Database Systems Design</t>
  </si>
  <si>
    <t>This course provides an in-depth treatment of working with Relational Database Management System (DBMS), with particular reference to MySQL. It also shows how to interface with MySQL using both PHP and Java languages.</t>
  </si>
  <si>
    <t>COP 2700</t>
  </si>
  <si>
    <t>Database Systems Basics</t>
  </si>
  <si>
    <t>Database systems are described with particular emphasis on Relational Database Management Systems (RDBMS). SQLite is the target RDBMS. It is programmatically driven with the Python language and OpenOffice base.</t>
  </si>
  <si>
    <t>An introduction to the specification, design, and analysis of programming languages. Topics include syntax, operational semantics, type systems, type safety, lambda calculus, functional programming, polymorphism, side effects, and objects.</t>
  </si>
  <si>
    <t>Analysis, design, and development of software systems using objective methodology with object oriented programming and advanced software development tools (such as integrated development environments).</t>
  </si>
  <si>
    <t>Advanced object-oriented programming techniques and applications. Topics include GUI design, visual objects, event handling, data validation, interfaces, database connection, etc.</t>
  </si>
  <si>
    <t>This course will cover basics in large-scale parallel computing and CUDA programming, and advanced techniques for parallel code optimization and domain-specific case studies.</t>
  </si>
  <si>
    <t>COP 4538</t>
  </si>
  <si>
    <t>Understand and implement fundamentals of concise data structure and organization for program efficiency, clarity and simplification. Implementation of different data types and structures. Understanding of current data structures. Functional programming concepts will be covered.</t>
  </si>
  <si>
    <t>COP 3514, CDA 3103</t>
  </si>
  <si>
    <t>Formalizes the concepts of algorithm and time complexity. Data structures such as heaps, lists, queues, stacks, and various forms of trees are covered. Students design and analyze algorithms. Numerous classic algorithms are covered.</t>
  </si>
  <si>
    <t>Addresses the software-development cycle and code maintenance, as well as software correctness. Various code testing strategies and debugging methods are presented along with tools for software maintenance and debugging.</t>
  </si>
  <si>
    <t>Introduction to systems programming. Design of operating systems. Concurrent processing, synchronization, and storage management policies.</t>
  </si>
  <si>
    <t>Introduction to techniques for compiling software; lexical, syntactic, and semantic analyses; abstract syntax trees; symbol tables; code generation and optimization.</t>
  </si>
  <si>
    <t>This course covers software development for mobile devices, mainly cellular phones. The primary goal of the course is to teach students how to design, develop, and deploy complete market-ready applications for mobile devices.</t>
  </si>
  <si>
    <t>Database management systems are presented, covering relational, CODASYL, network, hierarchical, and object-oriented models. Backups and database server admin are covered. Best practices for information management are covered.</t>
  </si>
  <si>
    <t>This course covers the fundamentals and applications of database management systems, including data models, relational database design, query languages, and web-based database applications.</t>
  </si>
  <si>
    <t>This course covers object-oriented programming in Java and Java foundation classes. Topics include classes, inheritance, interfaces, graphical user interfaces (GUIs), event-driven programming, exception handling, and networking.</t>
  </si>
  <si>
    <t>Topics to be chosen by students and instructor permitting newly developing sub-disciplinary special interests to be explored.</t>
  </si>
  <si>
    <t>Introduction to set algebra, propositional calculus and finite algebraic structures as they apply to computer systems.</t>
  </si>
  <si>
    <t>MAC 2281</t>
  </si>
  <si>
    <t>Introduction to the theory and application of various types of computing devices and the languages they recognize.</t>
  </si>
  <si>
    <t>Design principles and analysis techniques applicable to various classes of computer algorithms frequently used in practice.</t>
  </si>
  <si>
    <t>COT 3100, COP 4530</t>
  </si>
  <si>
    <t>Computational geometry is the study of efficient algorithms to solve geometric problems. Topics covered include Polygonal Triangulations, Polygon Partitioning, Convex Hulls, Voronoi Diagrams, Arrangements, Search and Intersection, and Motion Planning.</t>
  </si>
  <si>
    <t>COP 4530, COT 4400</t>
  </si>
  <si>
    <t>Introduction to and survey of quantum computing. Theory of qubits and quantum computation are studied including entanglement, superdense coding, quantum teleportation, and current topics. Students will also program simulated and real quantum computers.</t>
  </si>
  <si>
    <t>CDA 3103, COP 4530, EGN 4450</t>
  </si>
  <si>
    <t>Students learn to install, configure, tune, and administer a Linux system. Administration focuses on managing user accounts, file systems, and processes. System commands are presented and students learn to write basic scripts.</t>
  </si>
  <si>
    <t>ECO 2013 introduces students to basic economic terminology, definitions and measurements of macroeconomic data, simple macroeconomic models, fiscal and monetary policy, and international macroeconomic linkages.</t>
  </si>
  <si>
    <t>This course explores the human side of cybersecurity in a globally connected world. We will focus on personal, social and policy issues as well as address strategies to secure our digital footprints and promote safe interactions.</t>
  </si>
  <si>
    <t>This course provides electrical and computer engineering students with a strong background in material science and quantum physics as they relate to electrical/electronic material and device properties and applications.</t>
  </si>
  <si>
    <t>CHS 2440 or CHM 2045, PHY 2048 or PHY 2060</t>
  </si>
  <si>
    <t>MAC 2283 or MAC 2313</t>
  </si>
  <si>
    <t>Introduction to the USF College of Engineering disciplines and the engineering profession. Course will provide you with knowledge of resources to help you succeed. Course topics include academic policies and procedures, study skills, and career planning.</t>
  </si>
  <si>
    <t>Introduction to Engineering and its disciplines incorporating examples of tools and techniques used in design and presentation. Laboratory exercises will include computer tools, engineering design, team projects, and oral and written communication skills.</t>
  </si>
  <si>
    <t>A first course in electrical systems: AC/DC circuit analysis, electronics (diodes, transistors, operational amplifiers), digital circuits (logic gates, K-maps), control systems concepts (final value theorem), electrical safety, and AC power.</t>
  </si>
  <si>
    <t>EGN 3433 or MAP 2302</t>
  </si>
  <si>
    <t>Dynamic analysis of electrical, mechanical, hydraulic and thermal systems; Laplace transforms; numerical methods; use of computers in dynamic systems; analytical solution to first and second order ODEs. Restricted to majors.</t>
  </si>
  <si>
    <t>MAC 2283, PHY 2049</t>
  </si>
  <si>
    <t>An introduction to concepts of probability and statistical analysis with special emphasis on critical interpretation of data, comparing and contrasting claims, critical thinking, problem solving, and writing.</t>
  </si>
  <si>
    <t>MAC 2282</t>
  </si>
  <si>
    <t>Presents basic economic models used to evaluate engineering project investments with an understanding of the implications of human and cultural diversity on financial decisions through lectures, problem solving, and critical writing.</t>
  </si>
  <si>
    <t>Study and application of matrix algebra, differential equations and calculus of finite differences.</t>
  </si>
  <si>
    <t>This course helps prepare students for academic work by emphasizing expository writing, the basics of library research, and the conventions of academic discourse.</t>
  </si>
  <si>
    <t>This course emphasizes argument, research, and style. As students engage in creative and critical thinking, they learn to support assertions based on audience and purpose; students apply library research, strategies for revision, and peer response.</t>
  </si>
  <si>
    <t>Focuses on writing concerns of engineers. Deals with the content, organization, format, and style of specific types of engineering documents. Provides opportunity to improve oral presentations.</t>
  </si>
  <si>
    <t>ENC 1102</t>
  </si>
  <si>
    <t>An introductory course in the Earth Sciences. Topics covered include geology, weather, climate change, ocean dynamics, and the history of the Earth, the solar system and beyond</t>
  </si>
  <si>
    <t>An introductory lecture course linking the human and physical/biological world. The course will develop an understanding of population and resource interactions.</t>
  </si>
  <si>
    <t>Analysis of selected works of literature, music, film, and visual art, representing artists of diverse periods, cultures, genders, and races. Especially recommended for students who later take 4000-level Humanities courses.</t>
  </si>
  <si>
    <t>This course will explore ways in which culture influences the nature of government, economic success or failure, and constructive and destructive modes of self and social identification.</t>
  </si>
  <si>
    <t>This course provides students an in-depth look at the social costs and moral problems that have arisen by the expanded use of the Internet, and offers up-todate legal and philosophical perspectives on the global scale for the business community.</t>
  </si>
  <si>
    <t>ISM 3011</t>
  </si>
  <si>
    <t>Information Systems in Organizations</t>
  </si>
  <si>
    <t>CGS 2100</t>
  </si>
  <si>
    <t>An introduction to the language, concepts, structures and processes involved in the management of information systems including fundamentals of computer-based technology and the use of businessbased software for support of managerial decisions.</t>
  </si>
  <si>
    <t>Computers in Business</t>
  </si>
  <si>
    <t>A study of the use and impact of computers in all areas of business organizations. Course includes hands-on experience and the use of software packages for business analysis</t>
  </si>
  <si>
    <t>Senior standing, all majors. Introduction to information security and IT risk management in organizations. Covers essential IT general controls and frameworks to assess IT risk in a business environment.</t>
  </si>
  <si>
    <t>Examines issues related to information and cybersecurity technology development and use in a global society. Topics include governmental regulations, policy and ethical perspectives related to information literacy, access, security and the digital divide.</t>
  </si>
  <si>
    <t>Examines soft and technological threats to protected heath information and methods for reducing these threats with a focus on HIPAA compliance.</t>
  </si>
  <si>
    <t>This course will introduce students to the three major literary forms of prose, poetry and drama as well as to various "schools" of literary criticism.</t>
  </si>
  <si>
    <t>Concepts of the real number system, functions, graphs, and complex numbers. Analytic skills for solving linear, quadratic, polynomial, exponential, and logarithmic equations. Mathematical modeling of real life applications. College Algebra may be taken either for General Education credit or as preparation for a pre-calculus course.</t>
  </si>
  <si>
    <t>MAT 1033</t>
  </si>
  <si>
    <t>MAT</t>
  </si>
  <si>
    <t>This is an accelerated combination of MAC 1140 and MAC 1114 ; this course is best for students who have already seen some trigonometry. See the descriptions of MAC 1140 and MAC 1114 .</t>
  </si>
  <si>
    <t>Differentiation, limits, differentials, extremes, indefinite integral. No credit for mathematics majors.</t>
  </si>
  <si>
    <t>MAC 1147</t>
  </si>
  <si>
    <t>Definite integral, trigonometric functions, log, exponential, series, applications.</t>
  </si>
  <si>
    <t>Techniques of integration, numerical methods, analytic geometry, polar coordinates, Vector algebra, applications.</t>
  </si>
  <si>
    <t>MAC 2282 or MAC 2312</t>
  </si>
  <si>
    <t>Differentiation, limits, differentials, extremes, indefinite integral.</t>
  </si>
  <si>
    <t>Antiderivatives, the definite integral, applications, series, log, exponential and trig functions.</t>
  </si>
  <si>
    <t>Integration, polar coordinates, conic sections, vectors, indeterminate forms and proper integrals.</t>
  </si>
  <si>
    <t>MAC 2312 or MAC 2282</t>
  </si>
  <si>
    <t>MAC 2311 or MAC 2281</t>
  </si>
  <si>
    <t>This course covers set theory, logic, proofs, counting techniques, and graph theory.</t>
  </si>
  <si>
    <t>First order linear and nonlinear differential equations, higher order linear equations, applications.</t>
  </si>
  <si>
    <t>MAC 2282 or MAC 2312 or MAC 2283 or MAC 2313</t>
  </si>
  <si>
    <t>Intermediate Algebra</t>
  </si>
  <si>
    <t>This course provides students with an opportunity to develop algebraic knowledge needed for further study in several fields such as engineering, business, science, computer technology, and mathematics.</t>
  </si>
  <si>
    <t>Concepts and analytical skills in areas of logic, linear equations, linear programming, mathematics of finance, permutations and combinations, probability, and descriptive statistics.</t>
  </si>
  <si>
    <t>This terminal course is intended to present topics which demonstrate the beauty and utility of mathematics to the general student population. Among the topics which might be included are: Financial Mathematics, Linear and Exponential Growth, Numbers and Number Systems, Elementary Number Theory, Voting Techniques, Graph Theory, and the History of Mathematics.</t>
  </si>
  <si>
    <t>This course is intended to expose students to a variety of music and musical experiences through lecture, discussion, and direct experience involving critical listening. Students will enhance their awareness of the various elements, origins, and developments in music, as well as enrich critical thinking skills related to evaluating music. Students will prepare critiques of music performances in writing. By the end of the course, the student should have the background for appreciating the major genres of music, as well as having an enhanced ability to appreciate the various primary elements of any musical creation and /or performance.</t>
  </si>
  <si>
    <t>An introduction to several major themes in philosophy, as well as central philosophical concepts, texts, and methods.</t>
  </si>
  <si>
    <t>A qualitative investigation of physics concepts. Emphasis is placed on using physics to describe how common things work. No previous physics knowledge required.</t>
  </si>
  <si>
    <t>First semester of a two-semester sequence of calculus-based General Physics which includes a study of mechanics, wave motion, sound, thermodynamics, geometrical and physical optics, electricity and magnetism for students majoring in Physics, Chemistry and Engineering.</t>
  </si>
  <si>
    <t>PHY 2048L</t>
  </si>
  <si>
    <t>PHY 2049L</t>
  </si>
  <si>
    <t>PHY 2053L</t>
  </si>
  <si>
    <t>First semester of a two-semester sequence of general physics (mechanics, wave motion, sound, thermodynamics, geometrical and physical optics, electricity, and magnetism) and laboratory for physics majors and engineering students.</t>
  </si>
  <si>
    <t>PHY 2048</t>
  </si>
  <si>
    <t>PHY 2049</t>
  </si>
  <si>
    <t>PHY 2053</t>
  </si>
  <si>
    <t>Second semester of calculus based general physics. Topics studied include wave mechanics, electricity and magnetism, and optics.</t>
  </si>
  <si>
    <t>MAC 2282 or MAC 2312, PHY 2048 or PHY 2060, PHY 2048L</t>
  </si>
  <si>
    <t>Second semester of general physics and laboratory for physics majors and engineering students.</t>
  </si>
  <si>
    <t>First semester of a two semester sequence of noncalculus-based general physics (mechanics, heat, wave motion, sound, electricity, magnetism, optics, modern physics) for science students.</t>
  </si>
  <si>
    <t>MAC 1147 or MAC 2311 or MAC 2281</t>
  </si>
  <si>
    <t>2053L</t>
  </si>
  <si>
    <t>First semester of a two semester sequence of general physics (mechanics, heat, wave motion, sound, electricity, magnetism, optics, modern physics) laboratory for science students.</t>
  </si>
  <si>
    <t>Enriched General Physics I with Calculus</t>
  </si>
  <si>
    <t>First semester of an enriched sequence of calculus based general physics designed for physics majors and other students seeking a deeper understanding of mechanics, kinematics, conservation laws, central forces, harmonic motion, and mechanical waves.</t>
  </si>
  <si>
    <t>This course is intended to introduce students to the theory, institutions, and processes of American government and politics. In addition to learning fundamental information about the American political system, this course is designed to help students think critically about American government and politics.</t>
  </si>
  <si>
    <t>This course is an introduction to psychology for majors and nonmajors. It presents psychological theory and methods in a survey of various areas of psychology including clinical, cognitive, developmental, health, industrial, social and biopsychology.</t>
  </si>
  <si>
    <t>Descriptive and Inferential Statistics; Principles of Probability Theory, Discrete and Continuous Probability Distributions: Binomial Probability Distribution, Poisson Probability Distribution, Uniform Probability Distribution, Normal Dist and more.</t>
  </si>
  <si>
    <t>This course introduces undergraduate students to the discipline of sociology. During the semester, we will analyze sociological theories, core concepts, and issues through readings, lectures, discussions, films, and hands-on research assignments.</t>
  </si>
  <si>
    <t>This course explores the contributions of theater practitioners and audiences to the performance experience, aspects of theater making and an overview of theater history.</t>
  </si>
  <si>
    <t>Anatomy and Physiology Lab I for Nursing and other Healthcare Professionals</t>
  </si>
  <si>
    <t>Group</t>
  </si>
  <si>
    <t>Course</t>
  </si>
  <si>
    <t>Math and Science</t>
  </si>
  <si>
    <t>MAC 2311</t>
  </si>
  <si>
    <t>MAC 2312</t>
  </si>
  <si>
    <t>MAC 2283</t>
  </si>
  <si>
    <t>MAC 2313</t>
  </si>
  <si>
    <t>MAP 2302</t>
  </si>
  <si>
    <t>EGN 3433</t>
  </si>
  <si>
    <t>CHM 2045L</t>
  </si>
  <si>
    <t>CHS 2440L</t>
  </si>
  <si>
    <t>Basic Engineering</t>
  </si>
  <si>
    <t>EGN 3000L</t>
  </si>
  <si>
    <t>EGN 3000</t>
  </si>
  <si>
    <t>EGN 3373</t>
  </si>
  <si>
    <t>EGN 3443</t>
  </si>
  <si>
    <t>EGN 3615</t>
  </si>
  <si>
    <t>EGN 4450</t>
  </si>
  <si>
    <t>EEE 3394</t>
  </si>
  <si>
    <t>Specialization</t>
  </si>
  <si>
    <t>CDA 4203L</t>
  </si>
  <si>
    <t>CDA 4205L</t>
  </si>
  <si>
    <t>CDA 4213L</t>
  </si>
  <si>
    <t>COT 4400</t>
  </si>
  <si>
    <t>CIS 4250</t>
  </si>
  <si>
    <t>CIS 4910</t>
  </si>
  <si>
    <t>Writing</t>
  </si>
  <si>
    <t>ENC 3246</t>
  </si>
  <si>
    <t>Software Electives</t>
  </si>
  <si>
    <t>CAP 4034</t>
  </si>
  <si>
    <t>CAP 4063</t>
  </si>
  <si>
    <t>CAP 4111</t>
  </si>
  <si>
    <t>CAP 4401</t>
  </si>
  <si>
    <t>CAP 4410</t>
  </si>
  <si>
    <t>CAP 4662</t>
  </si>
  <si>
    <t>CEN 4020</t>
  </si>
  <si>
    <t>CEN 4072</t>
  </si>
  <si>
    <t>CIS 4364</t>
  </si>
  <si>
    <t>CNT 4004</t>
  </si>
  <si>
    <t>CNT 4411</t>
  </si>
  <si>
    <t>CNT 4419</t>
  </si>
  <si>
    <t>CNT 4800</t>
  </si>
  <si>
    <t>COP 4020</t>
  </si>
  <si>
    <t>COP 4365</t>
  </si>
  <si>
    <t>COP 4520</t>
  </si>
  <si>
    <t>COP 4620</t>
  </si>
  <si>
    <t>COP 4656</t>
  </si>
  <si>
    <t>COP 4710</t>
  </si>
  <si>
    <t>Hardware Electives</t>
  </si>
  <si>
    <t>CDA 4253</t>
  </si>
  <si>
    <t>CDA 4322</t>
  </si>
  <si>
    <t>CDA 4621</t>
  </si>
  <si>
    <t>Theory Electives</t>
  </si>
  <si>
    <t>COT 4210</t>
  </si>
  <si>
    <t>COT 4521</t>
  </si>
  <si>
    <t>CIS 4212</t>
  </si>
  <si>
    <t>CIS 4345</t>
  </si>
  <si>
    <t>CIS 4623</t>
  </si>
  <si>
    <t>CIS 4900</t>
  </si>
  <si>
    <t>CIS 4915</t>
  </si>
  <si>
    <t>CIS 4940</t>
  </si>
  <si>
    <t>Other Electives</t>
  </si>
  <si>
    <t>All 14</t>
  </si>
  <si>
    <t>All 4</t>
  </si>
  <si>
    <t>All 7</t>
  </si>
  <si>
    <t>All 3</t>
  </si>
  <si>
    <t>STA 2023</t>
  </si>
  <si>
    <t>PHY 2020</t>
  </si>
  <si>
    <t>Breadth Courses</t>
  </si>
  <si>
    <t>PSY 2012</t>
  </si>
  <si>
    <t>ECO 2013</t>
  </si>
  <si>
    <t>CIS 3213</t>
  </si>
  <si>
    <t>CIS 4200</t>
  </si>
  <si>
    <t>CIS 4219</t>
  </si>
  <si>
    <t>CIS 4622</t>
  </si>
  <si>
    <t>CGS 3853</t>
  </si>
  <si>
    <t>CNT 4403</t>
  </si>
  <si>
    <t>COP 4703</t>
  </si>
  <si>
    <t>LIS 4414</t>
  </si>
  <si>
    <t>CIS 4935</t>
  </si>
  <si>
    <t>ISM 4323</t>
  </si>
  <si>
    <t>All 20</t>
  </si>
  <si>
    <t>All 5</t>
  </si>
  <si>
    <t>All 2</t>
  </si>
  <si>
    <t>Electives</t>
  </si>
  <si>
    <t>CIS 3360</t>
  </si>
  <si>
    <t>CIS 3362</t>
  </si>
  <si>
    <t>LIS 4779</t>
  </si>
  <si>
    <t>CIS 4203</t>
  </si>
  <si>
    <t>ISM 4041</t>
  </si>
  <si>
    <t>EDG 3801</t>
  </si>
  <si>
    <t>INR 3033</t>
  </si>
  <si>
    <t>CIS 3433</t>
  </si>
  <si>
    <t>CIS 4083</t>
  </si>
  <si>
    <t>CIS 4253</t>
  </si>
  <si>
    <t>CNT 4603</t>
  </si>
  <si>
    <t>CAP 4136</t>
  </si>
  <si>
    <t>CEN 4360</t>
  </si>
  <si>
    <t>CIS 4361</t>
  </si>
  <si>
    <t>CIS 4947</t>
  </si>
  <si>
    <t>COP 4564</t>
  </si>
  <si>
    <t>COP 4883</t>
  </si>
  <si>
    <t>CTS 4337</t>
  </si>
  <si>
    <t>COP 4900</t>
  </si>
  <si>
    <t>All 10</t>
  </si>
  <si>
    <t>All 17</t>
  </si>
  <si>
    <t>Semester</t>
  </si>
  <si>
    <t>Courses</t>
  </si>
  <si>
    <t>SEMESTER 1 (FALL)</t>
  </si>
  <si>
    <t>MAC 2281 - Engineering Calculus I Credit(s): 4 or MAC 2311 - Calculus I Credit(s): 4</t>
  </si>
  <si>
    <t>CHM 2045 - General Chemistry I Credit(s): 3 or CHS 2440 - General Chemistry for Engineers Credit(s): 3</t>
  </si>
  <si>
    <t>ENC 1101 - Composition I Credit(s): 3</t>
  </si>
  <si>
    <t>CHM 2045L - General Chemistry I Laboratory Credit(s): 1 or CHS 2440L - General Chemistry for Engineers Lab Credit(s): 1</t>
  </si>
  <si>
    <t>EGN 3000L - Foundations of Engineering Lab Credit(s): 3</t>
  </si>
  <si>
    <t>EGN 3000 - Foundations of Engineering Credit(s): 0-3</t>
  </si>
  <si>
    <t>Total Credit Hours: 14</t>
  </si>
  <si>
    <t>SEMESTER 2 (SPRING)</t>
  </si>
  <si>
    <t>MAC 2282 - Engineering Calculus II Credit(s): 4 or MAC 2312 - Calculus II Credit(s): 4</t>
  </si>
  <si>
    <t>ENC 1102 - Composition II Credit(s): 3</t>
  </si>
  <si>
    <t>PHY 2048 - General Physics I - Calculus Based Credit(s): 3</t>
  </si>
  <si>
    <t>COP 2510 - Programming Concepts Credit(s): 3</t>
  </si>
  <si>
    <t>PHY 2048L - General Physics I Laboratory Credit(s): 1</t>
  </si>
  <si>
    <t>SEMESTER 3 (SUMMER)</t>
  </si>
  <si>
    <t>YEAR 2 SEMESTER 4 (FALL)</t>
  </si>
  <si>
    <t>MAC 2283 - Engineering Calculus III Credit(s): 4 or MAC 2313 - Calculus III Credit(s): 4</t>
  </si>
  <si>
    <t>PHY 2049 - General Physics II - Calculus Based Credit(s): 3</t>
  </si>
  <si>
    <t>CDA 3103 - Computer Organization Credit(s): 3</t>
  </si>
  <si>
    <t>COP 3514 - Program Design Credit(s): 3</t>
  </si>
  <si>
    <t>PHY 2049L - General Physics II Laboratory Credit(s): 1</t>
  </si>
  <si>
    <t>SEMESTER 5 (SPRING)</t>
  </si>
  <si>
    <t>CDA 3201 - Computer Logic and Design Credit(s): 3</t>
  </si>
  <si>
    <t>CDA 3201L - Computer Logic and Design Lab Credit(s): 1</t>
  </si>
  <si>
    <t>SGEH - General Education Core Humanities Credit(s): 3</t>
  </si>
  <si>
    <t>COT 3100 - Introduction to Discrete Structures Credit(s): 3</t>
  </si>
  <si>
    <t>EGN 3433 - Modeling and Analysis of Engineering Systems Credit(s): 3 or MAP 2302 - Differential Equations Credit(s): 3</t>
  </si>
  <si>
    <t>COP 4530 - Data Structures Credit(s): 3</t>
  </si>
  <si>
    <t>Total Credit Hours: 16</t>
  </si>
  <si>
    <t>SEMESTER 6 (SUMMER)</t>
  </si>
  <si>
    <t>SGES - General Education Core Social Sciences Credit(s): 3</t>
  </si>
  <si>
    <t>Natural Science Elective (Life or Physical) Credit(s): 3</t>
  </si>
  <si>
    <t>EGN 3443 - Probability and Statistics for Engineers Credit(s): 3</t>
  </si>
  <si>
    <t>Total Credit Hours: 9</t>
  </si>
  <si>
    <t>YEAR 3 SEMESTER 7 (FALL)</t>
  </si>
  <si>
    <t>CDA 4205 - Computer Architecture Credit(s): 3</t>
  </si>
  <si>
    <t>CDA 4205L - Computer Architecture Lab Credit(s): 1</t>
  </si>
  <si>
    <t>EEE 3394 - Electrical Engineering Science I - Electronic Materials Credit(s): 3</t>
  </si>
  <si>
    <t>EGN 3373 - Electrical Systems I Credit(s): 3</t>
  </si>
  <si>
    <t>EGN 4450 - Introduction to Linear Systems Credit(s): 2</t>
  </si>
  <si>
    <t>EGN 3615 - Engineering Economics with Social and Global Implications Credit(s): 3</t>
  </si>
  <si>
    <t>Total Credit Hours: 15</t>
  </si>
  <si>
    <t>SEMESTER 8 (SPRING)</t>
  </si>
  <si>
    <t>CDA 4203 - Computer System Design Credit(s): 3</t>
  </si>
  <si>
    <t>CDA 4203L - Computer System Design Lab Credit(s): 1</t>
  </si>
  <si>
    <t>COT 4400 - Analysis of Algorithms Credit(s): 3</t>
  </si>
  <si>
    <t>CSE Hardware Elective Credit(s): 3</t>
  </si>
  <si>
    <t>General Elective Credit(s): 3</t>
  </si>
  <si>
    <t>Total Credit Hours: 13</t>
  </si>
  <si>
    <t>SEMESTER 9 (SUMMER)</t>
  </si>
  <si>
    <t>Internship/Co-op Participation (see advisor for credit options - CIS 4940)</t>
  </si>
  <si>
    <t>Total Credit Hours: 0</t>
  </si>
  <si>
    <t>YEAR 4 SEMESTER 10 (FALL)</t>
  </si>
  <si>
    <t>CDA 4213 - CMOS-VLSI Design Credit(s): 3</t>
  </si>
  <si>
    <t>CDA 4213L - CMOS-VLSI Design Lab Credit(s): 1</t>
  </si>
  <si>
    <t>COP 4600 - Operating Systems Credit(s): 3</t>
  </si>
  <si>
    <t>ENC 3246 - Communication for Engineers Credit(s): 3</t>
  </si>
  <si>
    <t>CSE Elective Credit(s): 3</t>
  </si>
  <si>
    <t>SEMESTER 11 (SPRING)</t>
  </si>
  <si>
    <t>CIS 4250 - Ethical Issues and Professional Conduct Credit(s): 3</t>
  </si>
  <si>
    <t>CIS 4910 - Computer Science and Engineering Project Credit(s): 3</t>
  </si>
  <si>
    <t>Total Credit Hours: 12</t>
  </si>
  <si>
    <t>Please consider pursing High Impact Practice opportunities this semester such as Education Abroad, Internship Opportunities, Community Engagement, or Research Opportunities.</t>
  </si>
  <si>
    <t>YEAR 1 SEMESTER 1 (FALL)</t>
  </si>
  <si>
    <t>EGN 3000L - Foundations of Engineering Lab Credit(s): 3 (Meets TGEC - Creative Thinking requirement)</t>
  </si>
  <si>
    <t>TGED - Human &amp; Cultural Diversity Credit(s): 3</t>
  </si>
  <si>
    <t>CSE Software Elective Credit(s): 3</t>
  </si>
  <si>
    <t>Internship/Co-op Participation (see advisor for credit options - CIS 4940 - Industry Internship)</t>
  </si>
  <si>
    <t>CNT 4419 - Secure Coding Credit(s): 3</t>
  </si>
  <si>
    <t>CSE Theory Elective Credit(s): 3</t>
  </si>
  <si>
    <t>CEN 4020 - Software Engineering Credit(s): 3 (Note: TGEH - High Impact Practice is met with CEN 4020</t>
  </si>
  <si>
    <t>CGS 1540 - Introduction to Databases for Information Technology Credit(s): 3</t>
  </si>
  <si>
    <t>MAC 1147 - Precalculus Algebra and Trigonometry Credit(s): 4</t>
  </si>
  <si>
    <t>COP 2512 - Programming Fundamentals for Information Technology Credit(s): 3</t>
  </si>
  <si>
    <t>MAD 2104 - Discrete Mathematics Credit(s): 3</t>
  </si>
  <si>
    <t>PHY 2020 - Conceptual Physics Credit(s): 3</t>
  </si>
  <si>
    <t>COP 2513 - Object Oriented Programming for Information Technology Credit(s): 3</t>
  </si>
  <si>
    <t>CGS 3303 - IT Concepts Credit(s): 3</t>
  </si>
  <si>
    <t>ECO 2013 - Economic Principles (Macroeconomics) Credit(s): 3</t>
  </si>
  <si>
    <t>STA 2023 - Introductory Statistics I Credit(s): 3</t>
  </si>
  <si>
    <t>CIS 3213 - Foundations of Cybersecurity Credit(s): 3</t>
  </si>
  <si>
    <t>COP 3515 - Advanced Program Design for Information Technology Credit(s): 3</t>
  </si>
  <si>
    <t>PSY 2012 - Introduction to Psychological Science Credit(s): 3</t>
  </si>
  <si>
    <t>SGEN - General Education Core Natural Sciences Credit(s): 3</t>
  </si>
  <si>
    <t>TGEI - Information and Data Literacy Credit(s): 3</t>
  </si>
  <si>
    <t>COP 4538 - Data Structures and Algorithms for Information Technology Credit(s): 3</t>
  </si>
  <si>
    <t>CEN 3722 - Human Computer Interfaces for Information Technology Credit(s): 3</t>
  </si>
  <si>
    <t>CIS 3363 - Information Technology Systems Security Credit(s): 3</t>
  </si>
  <si>
    <t>CIS 4622 - Hands-on Cybersecurity Credit(s): 3</t>
  </si>
  <si>
    <t>ISM 4323 - Information Security and IT Risk Management Credit(s): 3</t>
  </si>
  <si>
    <t>CGS 3853 - Web Systems for IT Credit(s): 3</t>
  </si>
  <si>
    <t>CIS 4219 - Human Aspects of Cybersecurity Credit(s): 3</t>
  </si>
  <si>
    <t>CNT 4104 - Computer Information Networks for Information Technology Credit(s): 3</t>
  </si>
  <si>
    <t>CNT 4104L - Computer Information Networks Laboratory for Information Technology Credit(s): 1</t>
  </si>
  <si>
    <t>Approved Cybersecurity Elective Credit(s): 3</t>
  </si>
  <si>
    <t>Internship/Co-op Participation (see advisor for credit options - CIS 4947 - Industry Internship for IT)</t>
  </si>
  <si>
    <t>CIS 4200 - Penetration Testing for IT Credit(s): 3</t>
  </si>
  <si>
    <t>CNT 4403 - Network Security and Firewalls Credit(s): 3</t>
  </si>
  <si>
    <t>COP 4703 - Advanced Database Systems for Information Technology Credit(s): 3</t>
  </si>
  <si>
    <t>CIS 4935 - Senior Project in Information Technology Credit(s): 4</t>
  </si>
  <si>
    <t>LIS 4414 - Information Policy and Ethics Credit(s): 3</t>
  </si>
  <si>
    <t>INR 3033 - International Political Cultures Credit(s): 3</t>
  </si>
  <si>
    <t>CIS 3433 - System Integration and Architecture for IT Credit(s): 3</t>
  </si>
  <si>
    <t>Approved IT Elective Credit(s): 3</t>
  </si>
  <si>
    <t>Internship/Co-op Participation (see advisor for credit options - CIS 4947)</t>
  </si>
  <si>
    <t>CIS 4083 - Cloud Computing for IT Credit(s): 3</t>
  </si>
  <si>
    <t>CNT 4603 - System Administration and Maintenance for Information Technology Credit(s): 3</t>
  </si>
  <si>
    <t>CIS 4253 - Ethics for Information Technology Credit(s): 3</t>
  </si>
  <si>
    <t>Cybersecurity Elective Credit(s): 3</t>
  </si>
  <si>
    <t>IT Elective Credit(s): 3</t>
  </si>
  <si>
    <t>All 11</t>
  </si>
  <si>
    <t>Notes</t>
  </si>
  <si>
    <t>COT 3100 moved from Specialization to Math and Science</t>
  </si>
  <si>
    <t>CDA 4321</t>
  </si>
  <si>
    <t>CSE Electives</t>
  </si>
  <si>
    <t>Choose 2</t>
  </si>
  <si>
    <t>CAP 4103</t>
  </si>
  <si>
    <t>CAP 4160</t>
  </si>
  <si>
    <t>CAP 4621</t>
  </si>
  <si>
    <t>CAP 4628</t>
  </si>
  <si>
    <t>CAP 4641</t>
  </si>
  <si>
    <t>CAP 4744</t>
  </si>
  <si>
    <t>CDA 4323</t>
  </si>
  <si>
    <t>CIS 4930</t>
  </si>
  <si>
    <t>COT 4601</t>
  </si>
  <si>
    <t>All 13</t>
  </si>
  <si>
    <t>MAC 2283 / MAC 2313 removed</t>
  </si>
  <si>
    <t>Theory</t>
  </si>
  <si>
    <t>CSE</t>
  </si>
  <si>
    <t>CAP 4637</t>
  </si>
  <si>
    <t>Choose 1</t>
  </si>
  <si>
    <t>Choose 4</t>
  </si>
  <si>
    <t>CNT 4716C</t>
  </si>
  <si>
    <t>COP 4368</t>
  </si>
  <si>
    <t>COP 4931</t>
  </si>
  <si>
    <t>CIS 4368</t>
  </si>
  <si>
    <t>Additional electives</t>
  </si>
  <si>
    <t>Internship/Co-op Participation (see advisor for credit options - CIS 4947 )</t>
  </si>
  <si>
    <t>CIS 4253 - Ethics for Information Technology Credit(s): 3 OR LIS 4414 - Information Policy and Ethics Credit(s): 3</t>
  </si>
  <si>
    <t>General Elective Credit(s): 4</t>
  </si>
  <si>
    <t>Internship/Co-op Participation (see advisor for credit options - CIS 4940 - Industry Internship )</t>
  </si>
  <si>
    <t>CEN 4020 - Software Engineering Credit(s): 3</t>
  </si>
  <si>
    <t>MAC 2282 - Engineering Calculus II Credit(s): 4 OR MAC 2312 - Calculus II Credit(s): 4</t>
  </si>
  <si>
    <t>MAC 2283 - Engineering Calculus III Credit(s): 4 OR MAC 2313 - Calculus III Credit(s): 4</t>
  </si>
  <si>
    <t>EGN 3433 - Modeling and Analysis of Engineering Systems Credit(s): 3 OR MAP 2302 - Differential Equations Credit(s): 3</t>
  </si>
  <si>
    <t>Topics include foundations of biometric systems, mobile biometric modalities and features, and adversary attacks.</t>
  </si>
  <si>
    <t>x</t>
  </si>
  <si>
    <t>SELECT @COURSE_BSC_2010L = CourseID FROM Bellini.Course WHERE CoursePrefix = 'BSC' AND CourseNumber = '2010L';</t>
  </si>
  <si>
    <t>SELECT @COURSE_BSC_2085L = CourseID FROM Bellini.Course WHERE CoursePrefix = 'BSC' AND CourseNumber = '2085L';</t>
  </si>
  <si>
    <t>SELECT @COURSE_CDA_3201L = CourseID FROM Bellini.Course WHERE CoursePrefix = 'CDA' AND CourseNumber = '3201L';</t>
  </si>
  <si>
    <t>SELECT @COURSE_CDA_4203L = CourseID FROM Bellini.Course WHERE CoursePrefix = 'CDA' AND CourseNumber = '4203L';</t>
  </si>
  <si>
    <t>SELECT @COURSE_CDA_4205L = CourseID FROM Bellini.Course WHERE CoursePrefix = 'CDA' AND CourseNumber = '4205L';</t>
  </si>
  <si>
    <t>SELECT @COURSE_CDA_4213L = CourseID FROM Bellini.Course WHERE CoursePrefix = 'CDA' AND CourseNumber = '4213L';</t>
  </si>
  <si>
    <t>SELECT @COURSE_CHM_2045L = CourseID FROM Bellini.Course WHERE CoursePrefix = 'CHM' AND CourseNumber = '2045L';</t>
  </si>
  <si>
    <t>SELECT @COURSE_CHS_2440L = CourseID FROM Bellini.Course WHERE CoursePrefix = 'CHS' AND CourseNumber = '2440L';</t>
  </si>
  <si>
    <t>SELECT @COURSE_CNT_4104L = CourseID FROM Bellini.Course WHERE CoursePrefix = 'CNT' AND CourseNumber = '4104L';</t>
  </si>
  <si>
    <t>SELECT @COURSE_CNT_4716C = CourseID FROM Bellini.Course WHERE CoursePrefix = 'CNT' AND CourseNumber = '4716C';</t>
  </si>
  <si>
    <t>SELECT @COURSE_EGN_3000L = CourseID FROM Bellini.Course WHERE CoursePrefix = 'EGN' AND CourseNumber = '3000L';</t>
  </si>
  <si>
    <t>SELECT @COURSE_PHY_2048L = CourseID FROM Bellini.Course WHERE CoursePrefix = 'PHY' AND CourseNumber = '2048L';</t>
  </si>
  <si>
    <t>SELECT @COURSE_PHY_2049L = CourseID FROM Bellini.Course WHERE CoursePrefix = 'PHY' AND CourseNumber = '2049L';</t>
  </si>
  <si>
    <t>SELECT @COURSE_PHY_2053L = CourseID FROM Bellini.Course WHERE CoursePrefix = 'PHY' AND CourseNumber = '2053L';</t>
  </si>
  <si>
    <t>SELECT @COURSE_AMH_2020  = CourseID FROM Bellini.Course WHERE CoursePrefix = 'AMH' AND CourseNumber = '2020';</t>
  </si>
  <si>
    <t>SELECT @COURSE_ANT_2000  = CourseID FROM Bellini.Course WHERE CoursePrefix = 'ANT' AND CourseNumber = '2000';</t>
  </si>
  <si>
    <t>SELECT @COURSE_ARH_2000  = CourseID FROM Bellini.Course WHERE CoursePrefix = 'ARH' AND CourseNumber = '2000';</t>
  </si>
  <si>
    <t>SELECT @COURSE_AST_2002  = CourseID FROM Bellini.Course WHERE CoursePrefix = 'AST' AND CourseNumber = '2002';</t>
  </si>
  <si>
    <t>SELECT @COURSE_BSC_1005  = CourseID FROM Bellini.Course WHERE CoursePrefix = 'BSC' AND CourseNumber = '1005';</t>
  </si>
  <si>
    <t>SELECT @COURSE_BSC_2010  = CourseID FROM Bellini.Course WHERE CoursePrefix = 'BSC' AND CourseNumber = '2010';</t>
  </si>
  <si>
    <t>SELECT @COURSE_BSC_2085  = CourseID FROM Bellini.Course WHERE CoursePrefix = 'BSC' AND CourseNumber = '2085';</t>
  </si>
  <si>
    <t>SELECT @COURSE_CAP_4034  = CourseID FROM Bellini.Course WHERE CoursePrefix = 'CAP' AND CourseNumber = '4034';</t>
  </si>
  <si>
    <t>SELECT @COURSE_CAP_4063  = CourseID FROM Bellini.Course WHERE CoursePrefix = 'CAP' AND CourseNumber = '4063';</t>
  </si>
  <si>
    <t>SELECT @COURSE_CAP_4103  = CourseID FROM Bellini.Course WHERE CoursePrefix = 'CAP' AND CourseNumber = '4103';</t>
  </si>
  <si>
    <t>SELECT @COURSE_CAP_4111  = CourseID FROM Bellini.Course WHERE CoursePrefix = 'CAP' AND CourseNumber = '4111';</t>
  </si>
  <si>
    <t>SELECT @COURSE_CAP_4136  = CourseID FROM Bellini.Course WHERE CoursePrefix = 'CAP' AND CourseNumber = '4136';</t>
  </si>
  <si>
    <t>SELECT @COURSE_CAP_4160  = CourseID FROM Bellini.Course WHERE CoursePrefix = 'CAP' AND CourseNumber = '4160';</t>
  </si>
  <si>
    <t>SELECT @COURSE_CAP_4401  = CourseID FROM Bellini.Course WHERE CoursePrefix = 'CAP' AND CourseNumber = '4401';</t>
  </si>
  <si>
    <t>SELECT @COURSE_CAP_4410  = CourseID FROM Bellini.Course WHERE CoursePrefix = 'CAP' AND CourseNumber = '4410';</t>
  </si>
  <si>
    <t>SELECT @COURSE_CAP_4621  = CourseID FROM Bellini.Course WHERE CoursePrefix = 'CAP' AND CourseNumber = '4621';</t>
  </si>
  <si>
    <t>SELECT @COURSE_CAP_4628  = CourseID FROM Bellini.Course WHERE CoursePrefix = 'CAP' AND CourseNumber = '4628';</t>
  </si>
  <si>
    <t>SELECT @COURSE_CAP_4637  = CourseID FROM Bellini.Course WHERE CoursePrefix = 'CAP' AND CourseNumber = '4637';</t>
  </si>
  <si>
    <t>SELECT @COURSE_CAP_4641  = CourseID FROM Bellini.Course WHERE CoursePrefix = 'CAP' AND CourseNumber = '4641';</t>
  </si>
  <si>
    <t>SELECT @COURSE_CAP_4662  = CourseID FROM Bellini.Course WHERE CoursePrefix = 'CAP' AND CourseNumber = '4662';</t>
  </si>
  <si>
    <t>SELECT @COURSE_CAP_4744  = CourseID FROM Bellini.Course WHERE CoursePrefix = 'CAP' AND CourseNumber = '4744';</t>
  </si>
  <si>
    <t>SELECT @COURSE_CAP_4773  = CourseID FROM Bellini.Course WHERE CoursePrefix = 'CAP' AND CourseNumber = '4773';</t>
  </si>
  <si>
    <t>SELECT @COURSE_CDA_3103  = CourseID FROM Bellini.Course WHERE CoursePrefix = 'CDA' AND CourseNumber = '3103';</t>
  </si>
  <si>
    <t>SELECT @COURSE_CDA_3201  = CourseID FROM Bellini.Course WHERE CoursePrefix = 'CDA' AND CourseNumber = '3201';</t>
  </si>
  <si>
    <t>SELECT @COURSE_CDA_4203  = CourseID FROM Bellini.Course WHERE CoursePrefix = 'CDA' AND CourseNumber = '4203';</t>
  </si>
  <si>
    <t>SELECT @COURSE_CDA_4205  = CourseID FROM Bellini.Course WHERE CoursePrefix = 'CDA' AND CourseNumber = '4205';</t>
  </si>
  <si>
    <t>SELECT @COURSE_CDA_4213  = CourseID FROM Bellini.Course WHERE CoursePrefix = 'CDA' AND CourseNumber = '4213';</t>
  </si>
  <si>
    <t>SELECT @COURSE_CDA_4253  = CourseID FROM Bellini.Course WHERE CoursePrefix = 'CDA' AND CourseNumber = '4253';</t>
  </si>
  <si>
    <t>SELECT @COURSE_CDA_4321  = CourseID FROM Bellini.Course WHERE CoursePrefix = 'CDA' AND CourseNumber = '4321';</t>
  </si>
  <si>
    <t>SELECT @COURSE_CDA_4322  = CourseID FROM Bellini.Course WHERE CoursePrefix = 'CDA' AND CourseNumber = '4322';</t>
  </si>
  <si>
    <t>SELECT @COURSE_CDA_4323  = CourseID FROM Bellini.Course WHERE CoursePrefix = 'CDA' AND CourseNumber = '4323';</t>
  </si>
  <si>
    <t>SELECT @COURSE_CDA_4621  = CourseID FROM Bellini.Course WHERE CoursePrefix = 'CDA' AND CourseNumber = '4621';</t>
  </si>
  <si>
    <t>SELECT @COURSE_CEN_3722  = CourseID FROM Bellini.Course WHERE CoursePrefix = 'CEN' AND CourseNumber = '3722';</t>
  </si>
  <si>
    <t>SELECT @COURSE_CEN_4020  = CourseID FROM Bellini.Course WHERE CoursePrefix = 'CEN' AND CourseNumber = '4020';</t>
  </si>
  <si>
    <t>SELECT @COURSE_CEN_4072  = CourseID FROM Bellini.Course WHERE CoursePrefix = 'CEN' AND CourseNumber = '4072';</t>
  </si>
  <si>
    <t>SELECT @COURSE_CEN_4360  = CourseID FROM Bellini.Course WHERE CoursePrefix = 'CEN' AND CourseNumber = '4360';</t>
  </si>
  <si>
    <t>SELECT @COURSE_CGS_1540  = CourseID FROM Bellini.Course WHERE CoursePrefix = 'CGS' AND CourseNumber = '1540';</t>
  </si>
  <si>
    <t>SELECT @COURSE_CGS_2100  = CourseID FROM Bellini.Course WHERE CoursePrefix = 'CGS' AND CourseNumber = '2100';</t>
  </si>
  <si>
    <t>SELECT @COURSE_CGS_3303  = CourseID FROM Bellini.Course WHERE CoursePrefix = 'CGS' AND CourseNumber = '3303';</t>
  </si>
  <si>
    <t>SELECT @COURSE_CGS_3853  = CourseID FROM Bellini.Course WHERE CoursePrefix = 'CGS' AND CourseNumber = '3853';</t>
  </si>
  <si>
    <t>SELECT @COURSE_CHM_2020  = CourseID FROM Bellini.Course WHERE CoursePrefix = 'CHM' AND CourseNumber = '2020';</t>
  </si>
  <si>
    <t>SELECT @COURSE_CHM_2045  = CourseID FROM Bellini.Course WHERE CoursePrefix = 'CHM' AND CourseNumber = '2045';</t>
  </si>
  <si>
    <t>SELECT @COURSE_CHS_2440  = CourseID FROM Bellini.Course WHERE CoursePrefix = 'CHS' AND CourseNumber = '2440';</t>
  </si>
  <si>
    <t>SELECT @COURSE_CIS_3213  = CourseID FROM Bellini.Course WHERE CoursePrefix = 'CIS' AND CourseNumber = '3213';</t>
  </si>
  <si>
    <t>SELECT @COURSE_CIS_3360  = CourseID FROM Bellini.Course WHERE CoursePrefix = 'CIS' AND CourseNumber = '3360';</t>
  </si>
  <si>
    <t>SELECT @COURSE_CIS_3362  = CourseID FROM Bellini.Course WHERE CoursePrefix = 'CIS' AND CourseNumber = '3362';</t>
  </si>
  <si>
    <t>SELECT @COURSE_CIS_3363  = CourseID FROM Bellini.Course WHERE CoursePrefix = 'CIS' AND CourseNumber = '3363';</t>
  </si>
  <si>
    <t>SELECT @COURSE_CIS_3433  = CourseID FROM Bellini.Course WHERE CoursePrefix = 'CIS' AND CourseNumber = '3433';</t>
  </si>
  <si>
    <t>SELECT @COURSE_CIS_4083  = CourseID FROM Bellini.Course WHERE CoursePrefix = 'CIS' AND CourseNumber = '4083';</t>
  </si>
  <si>
    <t>SELECT @COURSE_CIS_4200  = CourseID FROM Bellini.Course WHERE CoursePrefix = 'CIS' AND CourseNumber = '4200';</t>
  </si>
  <si>
    <t>SELECT @COURSE_CIS_4203  = CourseID FROM Bellini.Course WHERE CoursePrefix = 'CIS' AND CourseNumber = '4203';</t>
  </si>
  <si>
    <t>SELECT @COURSE_CIS_4212  = CourseID FROM Bellini.Course WHERE CoursePrefix = 'CIS' AND CourseNumber = '4212';</t>
  </si>
  <si>
    <t>SELECT @COURSE_CIS_4219  = CourseID FROM Bellini.Course WHERE CoursePrefix = 'CIS' AND CourseNumber = '4219';</t>
  </si>
  <si>
    <t>SELECT @COURSE_CIS_4250  = CourseID FROM Bellini.Course WHERE CoursePrefix = 'CIS' AND CourseNumber = '4250';</t>
  </si>
  <si>
    <t>SELECT @COURSE_CIS_4253  = CourseID FROM Bellini.Course WHERE CoursePrefix = 'CIS' AND CourseNumber = '4253';</t>
  </si>
  <si>
    <t>SELECT @COURSE_CIS_4345  = CourseID FROM Bellini.Course WHERE CoursePrefix = 'CIS' AND CourseNumber = '4345';</t>
  </si>
  <si>
    <t>SELECT @COURSE_CIS_4361  = CourseID FROM Bellini.Course WHERE CoursePrefix = 'CIS' AND CourseNumber = '4361';</t>
  </si>
  <si>
    <t>SELECT @COURSE_CIS_4364  = CourseID FROM Bellini.Course WHERE CoursePrefix = 'CIS' AND CourseNumber = '4364';</t>
  </si>
  <si>
    <t>SELECT @COURSE_CIS_4368  = CourseID FROM Bellini.Course WHERE CoursePrefix = 'CIS' AND CourseNumber = '4368';</t>
  </si>
  <si>
    <t>SELECT @COURSE_CIS_4622  = CourseID FROM Bellini.Course WHERE CoursePrefix = 'CIS' AND CourseNumber = '4622';</t>
  </si>
  <si>
    <t>SELECT @COURSE_CIS_4623  = CourseID FROM Bellini.Course WHERE CoursePrefix = 'CIS' AND CourseNumber = '4623';</t>
  </si>
  <si>
    <t>SELECT @COURSE_CIS_4900  = CourseID FROM Bellini.Course WHERE CoursePrefix = 'CIS' AND CourseNumber = '4900';</t>
  </si>
  <si>
    <t>SELECT @COURSE_CIS_4910  = CourseID FROM Bellini.Course WHERE CoursePrefix = 'CIS' AND CourseNumber = '4910';</t>
  </si>
  <si>
    <t>SELECT @COURSE_CIS_4915  = CourseID FROM Bellini.Course WHERE CoursePrefix = 'CIS' AND CourseNumber = '4915';</t>
  </si>
  <si>
    <t>SELECT @COURSE_CIS_4930  = CourseID FROM Bellini.Course WHERE CoursePrefix = 'CIS' AND CourseNumber = '4930';</t>
  </si>
  <si>
    <t>SELECT @COURSE_CIS_4935  = CourseID FROM Bellini.Course WHERE CoursePrefix = 'CIS' AND CourseNumber = '4935';</t>
  </si>
  <si>
    <t>SELECT @COURSE_CIS_4940  = CourseID FROM Bellini.Course WHERE CoursePrefix = 'CIS' AND CourseNumber = '4940';</t>
  </si>
  <si>
    <t>SELECT @COURSE_CIS_4947  = CourseID FROM Bellini.Course WHERE CoursePrefix = 'CIS' AND CourseNumber = '4947';</t>
  </si>
  <si>
    <t>SELECT @COURSE_CNT_4004  = CourseID FROM Bellini.Course WHERE CoursePrefix = 'CNT' AND CourseNumber = '4004';</t>
  </si>
  <si>
    <t>SELECT @COURSE_CNT_4104  = CourseID FROM Bellini.Course WHERE CoursePrefix = 'CNT' AND CourseNumber = '4104';</t>
  </si>
  <si>
    <t>SELECT @COURSE_CNT_4403  = CourseID FROM Bellini.Course WHERE CoursePrefix = 'CNT' AND CourseNumber = '4403';</t>
  </si>
  <si>
    <t>SELECT @COURSE_CNT_4411  = CourseID FROM Bellini.Course WHERE CoursePrefix = 'CNT' AND CourseNumber = '4411';</t>
  </si>
  <si>
    <t>SELECT @COURSE_CNT_4419  = CourseID FROM Bellini.Course WHERE CoursePrefix = 'CNT' AND CourseNumber = '4419';</t>
  </si>
  <si>
    <t>SELECT @COURSE_CNT_4603  = CourseID FROM Bellini.Course WHERE CoursePrefix = 'CNT' AND CourseNumber = '4603';</t>
  </si>
  <si>
    <t>SELECT @COURSE_CNT_4800  = CourseID FROM Bellini.Course WHERE CoursePrefix = 'CNT' AND CourseNumber = '4800';</t>
  </si>
  <si>
    <t>SELECT @COURSE_COP_2030  = CourseID FROM Bellini.Course WHERE CoursePrefix = 'COP' AND CourseNumber = '2030';</t>
  </si>
  <si>
    <t>SELECT @COURSE_COP_2510  = CourseID FROM Bellini.Course WHERE CoursePrefix = 'COP' AND CourseNumber = '2510';</t>
  </si>
  <si>
    <t>SELECT @COURSE_COP_2512  = CourseID FROM Bellini.Course WHERE CoursePrefix = 'COP' AND CourseNumber = '2512';</t>
  </si>
  <si>
    <t>SELECT @COURSE_COP_2513  = CourseID FROM Bellini.Course WHERE CoursePrefix = 'COP' AND CourseNumber = '2513';</t>
  </si>
  <si>
    <t>SELECT @COURSE_COP_2700  = CourseID FROM Bellini.Course WHERE CoursePrefix = 'COP' AND CourseNumber = '2700';</t>
  </si>
  <si>
    <t>SELECT @COURSE_COP_3331  = CourseID FROM Bellini.Course WHERE CoursePrefix = 'COP' AND CourseNumber = '3331';</t>
  </si>
  <si>
    <t>SELECT @COURSE_COP_3353  = CourseID FROM Bellini.Course WHERE CoursePrefix = 'COP' AND CourseNumber = '3353';</t>
  </si>
  <si>
    <t>SELECT @COURSE_COP_3514  = CourseID FROM Bellini.Course WHERE CoursePrefix = 'COP' AND CourseNumber = '3514';</t>
  </si>
  <si>
    <t>SELECT @COURSE_COP_3515  = CourseID FROM Bellini.Course WHERE CoursePrefix = 'COP' AND CourseNumber = '3515';</t>
  </si>
  <si>
    <t>SELECT @COURSE_COP_3718  = CourseID FROM Bellini.Course WHERE CoursePrefix = 'COP' AND CourseNumber = '3718';</t>
  </si>
  <si>
    <t>SELECT @COURSE_COP_4020  = CourseID FROM Bellini.Course WHERE CoursePrefix = 'COP' AND CourseNumber = '4020';</t>
  </si>
  <si>
    <t>SELECT @COURSE_COP_4365  = CourseID FROM Bellini.Course WHERE CoursePrefix = 'COP' AND CourseNumber = '4365';</t>
  </si>
  <si>
    <t>SELECT @COURSE_COP_4368  = CourseID FROM Bellini.Course WHERE CoursePrefix = 'COP' AND CourseNumber = '4368';</t>
  </si>
  <si>
    <t>SELECT @COURSE_COP_4520  = CourseID FROM Bellini.Course WHERE CoursePrefix = 'COP' AND CourseNumber = '4520';</t>
  </si>
  <si>
    <t>SELECT @COURSE_COP_4530  = CourseID FROM Bellini.Course WHERE CoursePrefix = 'COP' AND CourseNumber = '4530';</t>
  </si>
  <si>
    <t>SELECT @COURSE_COP_4538  = CourseID FROM Bellini.Course WHERE CoursePrefix = 'COP' AND CourseNumber = '4538';</t>
  </si>
  <si>
    <t>SELECT @COURSE_COP_4564  = CourseID FROM Bellini.Course WHERE CoursePrefix = 'COP' AND CourseNumber = '4564';</t>
  </si>
  <si>
    <t>SELECT @COURSE_COP_4600  = CourseID FROM Bellini.Course WHERE CoursePrefix = 'COP' AND CourseNumber = '4600';</t>
  </si>
  <si>
    <t>SELECT @COURSE_COP_4620  = CourseID FROM Bellini.Course WHERE CoursePrefix = 'COP' AND CourseNumber = '4620';</t>
  </si>
  <si>
    <t>SELECT @COURSE_COP_4656  = CourseID FROM Bellini.Course WHERE CoursePrefix = 'COP' AND CourseNumber = '4656';</t>
  </si>
  <si>
    <t>SELECT @COURSE_COP_4703  = CourseID FROM Bellini.Course WHERE CoursePrefix = 'COP' AND CourseNumber = '4703';</t>
  </si>
  <si>
    <t>SELECT @COURSE_COP_4710  = CourseID FROM Bellini.Course WHERE CoursePrefix = 'COP' AND CourseNumber = '4710';</t>
  </si>
  <si>
    <t>SELECT @COURSE_COP_4883  = CourseID FROM Bellini.Course WHERE CoursePrefix = 'COP' AND CourseNumber = '4883';</t>
  </si>
  <si>
    <t>SELECT @COURSE_COP_4900  = CourseID FROM Bellini.Course WHERE CoursePrefix = 'COP' AND CourseNumber = '4900';</t>
  </si>
  <si>
    <t>SELECT @COURSE_COP_4931  = CourseID FROM Bellini.Course WHERE CoursePrefix = 'COP' AND CourseNumber = '4931';</t>
  </si>
  <si>
    <t>SELECT @COURSE_COT_3100  = CourseID FROM Bellini.Course WHERE CoursePrefix = 'COT' AND CourseNumber = '3100';</t>
  </si>
  <si>
    <t>SELECT @COURSE_COT_4210  = CourseID FROM Bellini.Course WHERE CoursePrefix = 'COT' AND CourseNumber = '4210';</t>
  </si>
  <si>
    <t>SELECT @COURSE_COT_4400  = CourseID FROM Bellini.Course WHERE CoursePrefix = 'COT' AND CourseNumber = '4400';</t>
  </si>
  <si>
    <t>SELECT @COURSE_COT_4521  = CourseID FROM Bellini.Course WHERE CoursePrefix = 'COT' AND CourseNumber = '4521';</t>
  </si>
  <si>
    <t>SELECT @COURSE_COT_4601  = CourseID FROM Bellini.Course WHERE CoursePrefix = 'COT' AND CourseNumber = '4601';</t>
  </si>
  <si>
    <t>SELECT @COURSE_CTS_4337  = CourseID FROM Bellini.Course WHERE CoursePrefix = 'CTS' AND CourseNumber = '4337';</t>
  </si>
  <si>
    <t>SELECT @COURSE_ECO_2013  = CourseID FROM Bellini.Course WHERE CoursePrefix = 'ECO' AND CourseNumber = '2013';</t>
  </si>
  <si>
    <t>SELECT @COURSE_EDG_3801  = CourseID FROM Bellini.Course WHERE CoursePrefix = 'EDG' AND CourseNumber = '3801';</t>
  </si>
  <si>
    <t>SELECT @COURSE_EEE_3394  = CourseID FROM Bellini.Course WHERE CoursePrefix = 'EEE' AND CourseNumber = '3394';</t>
  </si>
  <si>
    <t>SELECT @COURSE_EGN_3000  = CourseID FROM Bellini.Course WHERE CoursePrefix = 'EGN' AND CourseNumber = '3000';</t>
  </si>
  <si>
    <t>SELECT @COURSE_EGN_3373  = CourseID FROM Bellini.Course WHERE CoursePrefix = 'EGN' AND CourseNumber = '3373';</t>
  </si>
  <si>
    <t>SELECT @COURSE_EGN_3433  = CourseID FROM Bellini.Course WHERE CoursePrefix = 'EGN' AND CourseNumber = '3433';</t>
  </si>
  <si>
    <t>SELECT @COURSE_EGN_3443  = CourseID FROM Bellini.Course WHERE CoursePrefix = 'EGN' AND CourseNumber = '3443';</t>
  </si>
  <si>
    <t>SELECT @COURSE_EGN_3615  = CourseID FROM Bellini.Course WHERE CoursePrefix = 'EGN' AND CourseNumber = '3615';</t>
  </si>
  <si>
    <t>SELECT @COURSE_EGN_4450  = CourseID FROM Bellini.Course WHERE CoursePrefix = 'EGN' AND CourseNumber = '4450';</t>
  </si>
  <si>
    <t>SELECT @COURSE_ENC_1101  = CourseID FROM Bellini.Course WHERE CoursePrefix = 'ENC' AND CourseNumber = '1101';</t>
  </si>
  <si>
    <t>SELECT @COURSE_ENC_1102  = CourseID FROM Bellini.Course WHERE CoursePrefix = 'ENC' AND CourseNumber = '1102';</t>
  </si>
  <si>
    <t>SELECT @COURSE_ENC_3246  = CourseID FROM Bellini.Course WHERE CoursePrefix = 'ENC' AND CourseNumber = '3246';</t>
  </si>
  <si>
    <t>SELECT @COURSE_ESC_2000  = CourseID FROM Bellini.Course WHERE CoursePrefix = 'ESC' AND CourseNumber = '2000';</t>
  </si>
  <si>
    <t>SELECT @COURSE_EVR_2001  = CourseID FROM Bellini.Course WHERE CoursePrefix = 'EVR' AND CourseNumber = '2001';</t>
  </si>
  <si>
    <t>SELECT @COURSE_HUM_1020  = CourseID FROM Bellini.Course WHERE CoursePrefix = 'HUM' AND CourseNumber = '1020';</t>
  </si>
  <si>
    <t>SELECT @COURSE_INR_3033  = CourseID FROM Bellini.Course WHERE CoursePrefix = 'INR' AND CourseNumber = '3033';</t>
  </si>
  <si>
    <t>SELECT @COURSE_ISM_3011  = CourseID FROM Bellini.Course WHERE CoursePrefix = 'ISM' AND CourseNumber = '3011';</t>
  </si>
  <si>
    <t>SELECT @COURSE_ISM_4041  = CourseID FROM Bellini.Course WHERE CoursePrefix = 'ISM' AND CourseNumber = '4041';</t>
  </si>
  <si>
    <t>SELECT @COURSE_ISM_4323  = CourseID FROM Bellini.Course WHERE CoursePrefix = 'ISM' AND CourseNumber = '4323';</t>
  </si>
  <si>
    <t>SELECT @COURSE_LIS_4414  = CourseID FROM Bellini.Course WHERE CoursePrefix = 'LIS' AND CourseNumber = '4414';</t>
  </si>
  <si>
    <t>SELECT @COURSE_LIS_4779  = CourseID FROM Bellini.Course WHERE CoursePrefix = 'LIS' AND CourseNumber = '4779';</t>
  </si>
  <si>
    <t>SELECT @COURSE_LIT_2000  = CourseID FROM Bellini.Course WHERE CoursePrefix = 'LIT' AND CourseNumber = '2000';</t>
  </si>
  <si>
    <t>SELECT @COURSE_MAC_1105  = CourseID FROM Bellini.Course WHERE CoursePrefix = 'MAC' AND CourseNumber = '1105';</t>
  </si>
  <si>
    <t>SELECT @COURSE_MAC_1147  = CourseID FROM Bellini.Course WHERE CoursePrefix = 'MAC' AND CourseNumber = '1147';</t>
  </si>
  <si>
    <t>SELECT @COURSE_MAC_2281  = CourseID FROM Bellini.Course WHERE CoursePrefix = 'MAC' AND CourseNumber = '2281';</t>
  </si>
  <si>
    <t>SELECT @COURSE_MAC_2282  = CourseID FROM Bellini.Course WHERE CoursePrefix = 'MAC' AND CourseNumber = '2282';</t>
  </si>
  <si>
    <t>SELECT @COURSE_MAC_2283  = CourseID FROM Bellini.Course WHERE CoursePrefix = 'MAC' AND CourseNumber = '2283';</t>
  </si>
  <si>
    <t>SELECT @COURSE_MAC_2311  = CourseID FROM Bellini.Course WHERE CoursePrefix = 'MAC' AND CourseNumber = '2311';</t>
  </si>
  <si>
    <t>SELECT @COURSE_MAC_2312  = CourseID FROM Bellini.Course WHERE CoursePrefix = 'MAC' AND CourseNumber = '2312';</t>
  </si>
  <si>
    <t>SELECT @COURSE_MAC_2313  = CourseID FROM Bellini.Course WHERE CoursePrefix = 'MAC' AND CourseNumber = '2313';</t>
  </si>
  <si>
    <t>SELECT @COURSE_MAD_2104  = CourseID FROM Bellini.Course WHERE CoursePrefix = 'MAD' AND CourseNumber = '2104';</t>
  </si>
  <si>
    <t>SELECT @COURSE_MAP_2302  = CourseID FROM Bellini.Course WHERE CoursePrefix = 'MAP' AND CourseNumber = '2302';</t>
  </si>
  <si>
    <t>SELECT @COURSE_MAT_1033  = CourseID FROM Bellini.Course WHERE CoursePrefix = 'MAT' AND CourseNumber = '1033';</t>
  </si>
  <si>
    <t>SELECT @COURSE_MGF_1106  = CourseID FROM Bellini.Course WHERE CoursePrefix = 'MGF' AND CourseNumber = '1106';</t>
  </si>
  <si>
    <t>SELECT @COURSE_MGF_1107  = CourseID FROM Bellini.Course WHERE CoursePrefix = 'MGF' AND CourseNumber = '1107';</t>
  </si>
  <si>
    <t>SELECT @COURSE_MUL_2010  = CourseID FROM Bellini.Course WHERE CoursePrefix = 'MUL' AND CourseNumber = '2010';</t>
  </si>
  <si>
    <t>SELECT @COURSE_PHI_2010  = CourseID FROM Bellini.Course WHERE CoursePrefix = 'PHI' AND CourseNumber = '2010';</t>
  </si>
  <si>
    <t>SELECT @COURSE_PHY_2020  = CourseID FROM Bellini.Course WHERE CoursePrefix = 'PHY' AND CourseNumber = '2020';</t>
  </si>
  <si>
    <t>SELECT @COURSE_PHY_2048  = CourseID FROM Bellini.Course WHERE CoursePrefix = 'PHY' AND CourseNumber = '2048';</t>
  </si>
  <si>
    <t>SELECT @COURSE_PHY_2049  = CourseID FROM Bellini.Course WHERE CoursePrefix = 'PHY' AND CourseNumber = '2049';</t>
  </si>
  <si>
    <t>SELECT @COURSE_PHY_2053  = CourseID FROM Bellini.Course WHERE CoursePrefix = 'PHY' AND CourseNumber = '2053';</t>
  </si>
  <si>
    <t>SELECT @COURSE_PHY_2060  = CourseID FROM Bellini.Course WHERE CoursePrefix = 'PHY' AND CourseNumber = '2060';</t>
  </si>
  <si>
    <t>SELECT @COURSE_POS_2041  = CourseID FROM Bellini.Course WHERE CoursePrefix = 'POS' AND CourseNumber = '2041';</t>
  </si>
  <si>
    <t>SELECT @COURSE_PSY_2012  = CourseID FROM Bellini.Course WHERE CoursePrefix = 'PSY' AND CourseNumber = '2012';</t>
  </si>
  <si>
    <t>SELECT @COURSE_STA_2023  = CourseID FROM Bellini.Course WHERE CoursePrefix = 'STA' AND CourseNumber = '2023';</t>
  </si>
  <si>
    <t>SELECT @COURSE_SYG_2000  = CourseID FROM Bellini.Course WHERE CoursePrefix = 'SYG' AND CourseNumber = '2000';</t>
  </si>
  <si>
    <t>SELECT @COURSE_THE_2000  = CourseID FROM Bellini.Course WHERE CoursePrefix = 'THE' AND CourseNumber = '2000';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</si>
</sst>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theme="0"/>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1" tint="0.14996795556505021"/>
        <bgColor indexed="64"/>
      </patternFill>
    </fill>
  </fills>
  <borders count="2">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1">
    <xf numFmtId="0" fontId="0" fillId="0" borderId="0"/>
  </cellStyleXfs>
  <cellXfs count="5">
    <xf numFmtId="0" fontId="0" fillId="0" borderId="0" xfId="0"/>
    <xf numFmtId="0" fontId="0" fillId="2" borderId="0" xfId="0" applyFill="1"/>
    <xf numFmtId="0" fontId="0" fillId="0" borderId="0" xfId="0" applyFill="1"/>
    <xf numFmtId="0" fontId="1" fillId="3" borderId="1" xfId="0" applyFont="1" applyFill="1" applyBorder="1"/>
    <xf numFmtId="0" fontId="1" fillId="3" borderId="1"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54BCC-78FF-4A69-90D3-5817EF0F84E7}">
  <dimension ref="A1:P169"/>
  <sheetViews>
    <sheetView tabSelected="1" zoomScaleNormal="100" workbookViewId="0">
      <selection activeCell="O169" sqref="O3:O169"/>
    </sheetView>
  </sheetViews>
  <sheetFormatPr defaultRowHeight="14.4" x14ac:dyDescent="0.3"/>
  <cols>
    <col min="1" max="2" width="8.88671875" style="3"/>
    <col min="3" max="3" width="5.6640625" style="3" customWidth="1"/>
    <col min="4" max="4" width="7.21875" style="3" customWidth="1"/>
    <col min="5" max="5" width="7.44140625" style="3" customWidth="1"/>
    <col min="6" max="6" width="6" style="3" customWidth="1"/>
    <col min="7" max="7" width="8.88671875" style="3" hidden="1" customWidth="1"/>
    <col min="8" max="8" width="8.88671875" style="3"/>
    <col min="9" max="9" width="0" style="3" hidden="1" customWidth="1"/>
    <col min="10" max="10" width="8.88671875" style="3"/>
    <col min="11" max="11" width="0" style="3" hidden="1" customWidth="1"/>
    <col min="12" max="16384" width="8.88671875" style="3"/>
  </cols>
  <sheetData>
    <row r="1" spans="1:16" x14ac:dyDescent="0.3">
      <c r="A1" s="3" t="s">
        <v>2</v>
      </c>
      <c r="B1" s="3" t="s">
        <v>3</v>
      </c>
      <c r="C1" s="3" t="s">
        <v>4</v>
      </c>
      <c r="D1" s="3" t="s">
        <v>5</v>
      </c>
      <c r="E1" s="3" t="s">
        <v>384</v>
      </c>
      <c r="F1" s="3" t="s">
        <v>385</v>
      </c>
      <c r="G1" s="3" t="s">
        <v>377</v>
      </c>
      <c r="H1" s="3" t="s">
        <v>887</v>
      </c>
      <c r="I1" s="3" t="s">
        <v>887</v>
      </c>
      <c r="J1" s="3" t="s">
        <v>887</v>
      </c>
      <c r="K1" s="3" t="s">
        <v>887</v>
      </c>
      <c r="L1" s="3" t="s">
        <v>887</v>
      </c>
      <c r="M1" s="3" t="s">
        <v>887</v>
      </c>
      <c r="N1" s="3" t="s">
        <v>887</v>
      </c>
      <c r="O1" s="3" t="s">
        <v>887</v>
      </c>
      <c r="P1" s="3" t="s">
        <v>887</v>
      </c>
    </row>
    <row r="3" spans="1:16" x14ac:dyDescent="0.3">
      <c r="A3" s="3" t="s">
        <v>369</v>
      </c>
      <c r="B3" s="3" t="s">
        <v>324</v>
      </c>
      <c r="C3" s="3" t="s">
        <v>41</v>
      </c>
      <c r="D3" s="3">
        <v>3</v>
      </c>
      <c r="G3" s="3" t="s">
        <v>376</v>
      </c>
      <c r="I3" s="3" t="str">
        <f>"    ('" &amp; A3 &amp; "', '" &amp; B3 &amp; "', '" &amp; C3 &amp; "', " &amp; D3 &amp; ", '" &amp; G3 &amp; "', " &amp; 1000 * ROUNDDOWN(MID(B3, 1, 4) / 1000, 0) &amp; "),"</f>
        <v xml:space="preserve">    ('AMH', '2020', 'American History II', 3, 'A history of the United States with attention given to relevant developments in the Western Hemisphere from 1877 to the present.', 2000),</v>
      </c>
      <c r="K3" s="3" t="str">
        <f>"    @COURSE_" &amp; A3 &amp; "_" &amp; B3 &amp; IF(LEN(B3) = 4, " ", "") &amp; " INT,"</f>
        <v xml:space="preserve">    @COURSE_AMH_2020  INT,</v>
      </c>
      <c r="M3" s="3" t="str">
        <f>"SELECT @COURSE_" &amp; A3 &amp; "_" &amp; B3 &amp; IF(LEN(B3) = 4, " ", "") &amp; " = CourseID FROM Bellini.Course WHERE CoursePrefix = '" &amp; A3 &amp; "' AND CourseNumber = '" &amp; B3 &amp; "';"</f>
        <v>SELECT @COURSE_AMH_2020  = CourseID FROM Bellini.Course WHERE CoursePrefix = 'AMH' AND CourseNumber = '2020';</v>
      </c>
      <c r="O3" s="3" t="s">
        <v>902</v>
      </c>
    </row>
    <row r="4" spans="1:16" x14ac:dyDescent="0.3">
      <c r="A4" s="3" t="s">
        <v>370</v>
      </c>
      <c r="B4" s="3" t="s">
        <v>340</v>
      </c>
      <c r="C4" s="3" t="s">
        <v>371</v>
      </c>
      <c r="D4" s="3">
        <v>3</v>
      </c>
      <c r="G4" s="3" t="s">
        <v>378</v>
      </c>
      <c r="I4" s="3" t="str">
        <f t="shared" ref="I4:K67" si="0">"    ('" &amp; A4 &amp; "', '" &amp; B4 &amp; "', '" &amp; C4 &amp; "', " &amp; D4 &amp; ", '" &amp; G4 &amp; "', " &amp; 1000 * ROUNDDOWN(MID(B4, 1, 4) / 1000, 0) &amp; "),"</f>
        <v xml:space="preserve">    ('ANT', '2000', 'Introduction to Anthropology', 3, 'The cross-cultural study of the human species in biological and social perspective. Surveys the four major branches of anthropology: physical anthropology, archaeology, linguistic anthropology, and cultural anthropology.', 2000),</v>
      </c>
      <c r="K4" s="3" t="str">
        <f t="shared" ref="K4:M67" si="1">"    @COURSE_" &amp; A4 &amp; "_" &amp; B4 &amp; IF(LEN(B4) = 4, " ", "") &amp; " INT,"</f>
        <v xml:space="preserve">    @COURSE_ANT_2000  INT,</v>
      </c>
      <c r="M4" s="3" t="str">
        <f t="shared" ref="M4:O67" si="2">"SELECT @COURSE_" &amp; A4 &amp; "_" &amp; B4 &amp; IF(LEN(B4) = 4, " ", "") &amp; " = CourseID FROM Bellini.Course WHERE CoursePrefix = '" &amp; A4 &amp; "' AND CourseNumber = '" &amp; B4 &amp; "';"</f>
        <v>SELECT @COURSE_ANT_2000  = CourseID FROM Bellini.Course WHERE CoursePrefix = 'ANT' AND CourseNumber = '2000';</v>
      </c>
      <c r="O4" s="3" t="s">
        <v>903</v>
      </c>
    </row>
    <row r="5" spans="1:16" x14ac:dyDescent="0.3">
      <c r="A5" s="3" t="s">
        <v>339</v>
      </c>
      <c r="B5" s="3" t="s">
        <v>340</v>
      </c>
      <c r="C5" s="3" t="s">
        <v>38</v>
      </c>
      <c r="D5" s="3">
        <v>3</v>
      </c>
      <c r="G5" s="3" t="s">
        <v>379</v>
      </c>
      <c r="I5" s="3" t="str">
        <f t="shared" si="0"/>
        <v xml:space="preserve">    ('ARH', '2000', 'Art and Culture', 3, 'This course offers students an enhanced appreciation and understanding of art. Student will critically evaluate a broad range of imagery, media, artists, movements and historical periods in the visual arts.', 2000),</v>
      </c>
      <c r="K5" s="3" t="str">
        <f t="shared" si="1"/>
        <v xml:space="preserve">    @COURSE_ARH_2000  INT,</v>
      </c>
      <c r="M5" s="3" t="str">
        <f t="shared" si="2"/>
        <v>SELECT @COURSE_ARH_2000  = CourseID FROM Bellini.Course WHERE CoursePrefix = 'ARH' AND CourseNumber = '2000';</v>
      </c>
      <c r="O5" s="3" t="s">
        <v>904</v>
      </c>
    </row>
    <row r="6" spans="1:16" x14ac:dyDescent="0.3">
      <c r="A6" s="3" t="s">
        <v>356</v>
      </c>
      <c r="B6" s="3" t="s">
        <v>357</v>
      </c>
      <c r="C6" s="3" t="s">
        <v>358</v>
      </c>
      <c r="D6" s="3">
        <v>3</v>
      </c>
      <c r="G6" s="3" t="s">
        <v>380</v>
      </c>
      <c r="I6" s="3" t="str">
        <f t="shared" si="0"/>
        <v xml:space="preserve">    ('AST', '2002', 'Descriptive Astronomy', 3, 'An introductory and overview of astronomy course. It is designed to introduce a broad range of topics in astronomy that will be discussed in greater detail in more advanced classes.', 2000),</v>
      </c>
      <c r="K6" s="3" t="str">
        <f t="shared" si="1"/>
        <v xml:space="preserve">    @COURSE_AST_2002  INT,</v>
      </c>
      <c r="M6" s="3" t="str">
        <f t="shared" si="2"/>
        <v>SELECT @COURSE_AST_2002  = CourseID FROM Bellini.Course WHERE CoursePrefix = 'AST' AND CourseNumber = '2002';</v>
      </c>
      <c r="O6" s="3" t="s">
        <v>905</v>
      </c>
    </row>
    <row r="7" spans="1:16" x14ac:dyDescent="0.3">
      <c r="A7" s="3" t="s">
        <v>359</v>
      </c>
      <c r="B7" s="3" t="s">
        <v>360</v>
      </c>
      <c r="C7" s="3" t="s">
        <v>381</v>
      </c>
      <c r="D7" s="3">
        <v>3</v>
      </c>
      <c r="G7" s="3" t="s">
        <v>382</v>
      </c>
      <c r="I7" s="3" t="str">
        <f t="shared" si="0"/>
        <v xml:space="preserve">    ('BSC', '1005', 'Biological Principles for Non-Majors', 3, 'A comprehensive introduction to living systems, including the scientific basis of biology, cell structure and function, genetic mechanisms, human anatomy and physiology, and ecological and evolutionary processes.', 1000),</v>
      </c>
      <c r="K7" s="3" t="str">
        <f t="shared" si="1"/>
        <v xml:space="preserve">    @COURSE_BSC_1005  INT,</v>
      </c>
      <c r="M7" s="3" t="str">
        <f t="shared" si="2"/>
        <v>SELECT @COURSE_BSC_1005  = CourseID FROM Bellini.Course WHERE CoursePrefix = 'BSC' AND CourseNumber = '1005';</v>
      </c>
      <c r="O7" s="3" t="s">
        <v>906</v>
      </c>
    </row>
    <row r="8" spans="1:16" x14ac:dyDescent="0.3">
      <c r="A8" s="3" t="s">
        <v>359</v>
      </c>
      <c r="B8" s="3" t="s">
        <v>347</v>
      </c>
      <c r="C8" s="3" t="s">
        <v>39</v>
      </c>
      <c r="D8" s="3">
        <v>3</v>
      </c>
      <c r="F8" s="3" t="s">
        <v>386</v>
      </c>
      <c r="G8" s="3" t="s">
        <v>383</v>
      </c>
      <c r="I8" s="3" t="str">
        <f t="shared" si="0"/>
        <v xml:space="preserve">    ('BSC', '2010', 'Cellular Processes', 3, 'This course deals with biological systems at the cellular and subcellular levels. Topics include an introduction to biochemistry, cell structure and function, enzymes, respiration, mitosis and meiosis, genetics and gene expressi', 2000),</v>
      </c>
      <c r="K8" s="3" t="str">
        <f t="shared" si="1"/>
        <v xml:space="preserve">    @COURSE_BSC_2010  INT,</v>
      </c>
      <c r="M8" s="3" t="str">
        <f t="shared" si="2"/>
        <v>SELECT @COURSE_BSC_2010  = CourseID FROM Bellini.Course WHERE CoursePrefix = 'BSC' AND CourseNumber = '2010';</v>
      </c>
      <c r="O8" s="3" t="s">
        <v>907</v>
      </c>
    </row>
    <row r="9" spans="1:16" x14ac:dyDescent="0.3">
      <c r="A9" s="3" t="s">
        <v>359</v>
      </c>
      <c r="B9" s="3" t="s">
        <v>387</v>
      </c>
      <c r="C9" s="3" t="s">
        <v>388</v>
      </c>
      <c r="D9" s="3">
        <v>1</v>
      </c>
      <c r="F9" s="3" t="s">
        <v>389</v>
      </c>
      <c r="G9" s="3" t="s">
        <v>390</v>
      </c>
      <c r="I9" s="3" t="str">
        <f t="shared" si="0"/>
        <v xml:space="preserve">    ('BSC', '2010L', 'Cellular Processes Laboratory', 1, 'Laboratory portion of Biology I Cellular Processes relating to cellular and subcellular structure and function. Mitosis, meiosis, and Mendelian genetics will be stressed.', 2000),</v>
      </c>
      <c r="K9" s="3" t="str">
        <f t="shared" si="1"/>
        <v xml:space="preserve">    @COURSE_BSC_2010L INT,</v>
      </c>
      <c r="M9" s="3" t="str">
        <f t="shared" si="2"/>
        <v>SELECT @COURSE_BSC_2010L = CourseID FROM Bellini.Course WHERE CoursePrefix = 'BSC' AND CourseNumber = '2010L';</v>
      </c>
      <c r="O9" s="3" t="s">
        <v>888</v>
      </c>
    </row>
    <row r="10" spans="1:16" x14ac:dyDescent="0.3">
      <c r="A10" s="3" t="s">
        <v>359</v>
      </c>
      <c r="B10" s="3" t="s">
        <v>361</v>
      </c>
      <c r="C10" s="3" t="s">
        <v>391</v>
      </c>
      <c r="D10" s="3">
        <v>3</v>
      </c>
      <c r="F10" s="3" t="s">
        <v>392</v>
      </c>
      <c r="G10" s="3" t="s">
        <v>393</v>
      </c>
      <c r="I10" s="3" t="str">
        <f t="shared" si="0"/>
        <v xml:space="preserve">    ('BSC', '2085', 'Anatomy and Physiology I For Health Professionals', 3, 'Introduction to the normal structure, function and selected pathological conditions for physiologic systems. Focus on understanding how the body functions in preparing for careers in nursing or healthrelated professions.', 2000),</v>
      </c>
      <c r="K10" s="3" t="str">
        <f t="shared" si="1"/>
        <v xml:space="preserve">    @COURSE_BSC_2085  INT,</v>
      </c>
      <c r="M10" s="3" t="str">
        <f t="shared" si="2"/>
        <v>SELECT @COURSE_BSC_2085  = CourseID FROM Bellini.Course WHERE CoursePrefix = 'BSC' AND CourseNumber = '2085';</v>
      </c>
      <c r="O10" s="3" t="s">
        <v>908</v>
      </c>
    </row>
    <row r="11" spans="1:16" ht="14.4" customHeight="1" x14ac:dyDescent="0.3">
      <c r="A11" s="3" t="s">
        <v>359</v>
      </c>
      <c r="B11" s="3" t="s">
        <v>394</v>
      </c>
      <c r="C11" s="4" t="s">
        <v>632</v>
      </c>
      <c r="D11" s="3">
        <v>1</v>
      </c>
      <c r="F11" s="3" t="s">
        <v>395</v>
      </c>
      <c r="G11" s="3" t="s">
        <v>396</v>
      </c>
      <c r="I11" s="3" t="str">
        <f t="shared" si="0"/>
        <v xml:space="preserve">    ('BSC', '2085L', 'Anatomy and Physiology Lab I for Nursing and other Healthcare Professionals', 1, 'Laboratory exercises and virtual dissections linked to the basic content of Anatomy &amp; Physiology I for Health Professionals.', 2000),</v>
      </c>
      <c r="K11" s="3" t="str">
        <f t="shared" si="1"/>
        <v xml:space="preserve">    @COURSE_BSC_2085L INT,</v>
      </c>
      <c r="M11" s="3" t="str">
        <f t="shared" si="2"/>
        <v>SELECT @COURSE_BSC_2085L = CourseID FROM Bellini.Course WHERE CoursePrefix = 'BSC' AND CourseNumber = '2085L';</v>
      </c>
      <c r="O11" s="3" t="s">
        <v>889</v>
      </c>
    </row>
    <row r="12" spans="1:16" x14ac:dyDescent="0.3">
      <c r="A12" s="3" t="s">
        <v>49</v>
      </c>
      <c r="B12" s="3" t="s">
        <v>50</v>
      </c>
      <c r="C12" s="3" t="s">
        <v>51</v>
      </c>
      <c r="D12" s="3">
        <v>3</v>
      </c>
      <c r="E12" s="3" t="s">
        <v>397</v>
      </c>
      <c r="F12" s="3" t="s">
        <v>398</v>
      </c>
      <c r="G12" s="3" t="s">
        <v>399</v>
      </c>
      <c r="I12" s="3" t="str">
        <f t="shared" si="0"/>
        <v xml:space="preserve">    ('CAP', '4034', 'Computer Animation Fundamentals', 3, 'An introductory course to computer animation. Topics include storyboarding, camera control, hierarchical character modeling, inverse kinematics, keyframing, motion capture, dynamic simulation, and facial animation.', 4000),</v>
      </c>
      <c r="K12" s="3" t="str">
        <f t="shared" si="1"/>
        <v xml:space="preserve">    @COURSE_CAP_4034  INT,</v>
      </c>
      <c r="M12" s="3" t="str">
        <f t="shared" si="2"/>
        <v>SELECT @COURSE_CAP_4034  = CourseID FROM Bellini.Course WHERE CoursePrefix = 'CAP' AND CourseNumber = '4034';</v>
      </c>
      <c r="O12" s="3" t="s">
        <v>909</v>
      </c>
    </row>
    <row r="13" spans="1:16" x14ac:dyDescent="0.3">
      <c r="A13" s="3" t="s">
        <v>49</v>
      </c>
      <c r="B13" s="3" t="s">
        <v>52</v>
      </c>
      <c r="C13" s="3" t="s">
        <v>53</v>
      </c>
      <c r="D13" s="3">
        <v>3</v>
      </c>
      <c r="E13" s="3" t="s">
        <v>398</v>
      </c>
      <c r="G13" s="3" t="s">
        <v>400</v>
      </c>
      <c r="I13" s="3" t="str">
        <f t="shared" si="0"/>
        <v xml:space="preserve">    ('CAP', '4063', 'Web Application Design', 3, 'Analysis, design, and development of software that operates on web servers and web browsers, supporting multiple concurrent users.', 4000),</v>
      </c>
      <c r="K13" s="3" t="str">
        <f t="shared" si="1"/>
        <v xml:space="preserve">    @COURSE_CAP_4063  INT,</v>
      </c>
      <c r="M13" s="3" t="str">
        <f t="shared" si="2"/>
        <v>SELECT @COURSE_CAP_4063  = CourseID FROM Bellini.Course WHERE CoursePrefix = 'CAP' AND CourseNumber = '4063';</v>
      </c>
      <c r="O13" s="3" t="s">
        <v>910</v>
      </c>
    </row>
    <row r="14" spans="1:16" x14ac:dyDescent="0.3">
      <c r="A14" s="3" t="s">
        <v>49</v>
      </c>
      <c r="B14" s="3" t="s">
        <v>54</v>
      </c>
      <c r="C14" s="3" t="s">
        <v>55</v>
      </c>
      <c r="D14" s="3">
        <v>3</v>
      </c>
      <c r="E14" s="3" t="s">
        <v>401</v>
      </c>
      <c r="G14" s="3" t="s">
        <v>886</v>
      </c>
      <c r="I14" s="3" t="str">
        <f t="shared" si="0"/>
        <v xml:space="preserve">    ('CAP', '4103', 'Mobile Biometrics', 3, 'Topics include foundations of biometric systems, mobile biometric modalities and features, and adversary attacks.', 4000),</v>
      </c>
      <c r="K14" s="3" t="str">
        <f t="shared" si="1"/>
        <v xml:space="preserve">    @COURSE_CAP_4103  INT,</v>
      </c>
      <c r="M14" s="3" t="str">
        <f t="shared" si="2"/>
        <v>SELECT @COURSE_CAP_4103  = CourseID FROM Bellini.Course WHERE CoursePrefix = 'CAP' AND CourseNumber = '4103';</v>
      </c>
      <c r="O14" s="3" t="s">
        <v>911</v>
      </c>
    </row>
    <row r="15" spans="1:16" x14ac:dyDescent="0.3">
      <c r="A15" s="3" t="s">
        <v>49</v>
      </c>
      <c r="B15" s="3" t="s">
        <v>56</v>
      </c>
      <c r="C15" s="3" t="s">
        <v>57</v>
      </c>
      <c r="D15" s="3">
        <v>3</v>
      </c>
      <c r="E15" s="3" t="s">
        <v>398</v>
      </c>
      <c r="G15" s="3" t="s">
        <v>402</v>
      </c>
      <c r="I15" s="3" t="str">
        <f t="shared" si="0"/>
        <v xml:space="preserve">    ('CAP', '4111', 'Introduction to Augmented and Virtual Reality', 3, 'This course introduces students to computer graphics techniques, computer vision techniques, and hardware designs that make augmented and virtual reality systems immersive.', 4000),</v>
      </c>
      <c r="K15" s="3" t="str">
        <f t="shared" si="1"/>
        <v xml:space="preserve">    @COURSE_CAP_4111  INT,</v>
      </c>
      <c r="M15" s="3" t="str">
        <f t="shared" si="2"/>
        <v>SELECT @COURSE_CAP_4111  = CourseID FROM Bellini.Course WHERE CoursePrefix = 'CAP' AND CourseNumber = '4111';</v>
      </c>
      <c r="O15" s="3" t="s">
        <v>912</v>
      </c>
    </row>
    <row r="16" spans="1:16" x14ac:dyDescent="0.3">
      <c r="A16" s="3" t="s">
        <v>49</v>
      </c>
      <c r="B16" s="3" t="s">
        <v>58</v>
      </c>
      <c r="C16" s="3" t="s">
        <v>59</v>
      </c>
      <c r="D16" s="3">
        <v>3</v>
      </c>
      <c r="E16" s="3" t="s">
        <v>404</v>
      </c>
      <c r="G16" s="3" t="s">
        <v>403</v>
      </c>
      <c r="I16" s="3" t="str">
        <f t="shared" si="0"/>
        <v xml:space="preserve">    ('CAP', '4136', 'Malware Analysis and Reverse Engineering', 3, 'This course will introduce students to the technical definition of malware, to the various malware analysis techniques (including reverse engineering of malware), and how to mitigate a malware attack.', 4000),</v>
      </c>
      <c r="K16" s="3" t="str">
        <f t="shared" si="1"/>
        <v xml:space="preserve">    @COURSE_CAP_4136  INT,</v>
      </c>
      <c r="M16" s="3" t="str">
        <f t="shared" si="2"/>
        <v>SELECT @COURSE_CAP_4136  = CourseID FROM Bellini.Course WHERE CoursePrefix = 'CAP' AND CourseNumber = '4136';</v>
      </c>
      <c r="O16" s="3" t="s">
        <v>913</v>
      </c>
    </row>
    <row r="17" spans="1:15" x14ac:dyDescent="0.3">
      <c r="A17" s="3" t="s">
        <v>49</v>
      </c>
      <c r="B17" s="3" t="s">
        <v>60</v>
      </c>
      <c r="C17" s="3" t="s">
        <v>61</v>
      </c>
      <c r="D17" s="3">
        <v>3</v>
      </c>
      <c r="E17" s="3" t="s">
        <v>406</v>
      </c>
      <c r="G17" s="3" t="s">
        <v>405</v>
      </c>
      <c r="I17" s="3" t="str">
        <f t="shared" si="0"/>
        <v xml:space="preserve">    ('CAP', '4160', 'Brain-Computer Interfaces', 3, 'This course involves the exploration of new forms of Human-Computer Interaction (HCI) based on a passive measurement of neurophysiological states (cognitive and affective). These include measuring cognitive workload and affective engagement. Students will read research papers in several related disciplines (i.e. Neuroscience, Cognitive Psychology, Cognitive Science, Medical BCI, Computational Neuroscience, and others) and present and discuss them in the course. We will explore the uses of noninvasive ubiquitous electroencephalographic (EEG) brain technologies. Also, students will learn the basics of other brain imaging technologies such as nearinfrared spectroscopy (fNIRS) and Functional Magnetic Resonance Imaging (fMRI) and how they relate to the field of computing. We will also explore ways to use such measurements as a form of machine control', 4000),</v>
      </c>
      <c r="K17" s="3" t="str">
        <f t="shared" si="1"/>
        <v xml:space="preserve">    @COURSE_CAP_4160  INT,</v>
      </c>
      <c r="M17" s="3" t="str">
        <f t="shared" si="2"/>
        <v>SELECT @COURSE_CAP_4160  = CourseID FROM Bellini.Course WHERE CoursePrefix = 'CAP' AND CourseNumber = '4160';</v>
      </c>
      <c r="O17" s="3" t="s">
        <v>914</v>
      </c>
    </row>
    <row r="18" spans="1:15" x14ac:dyDescent="0.3">
      <c r="A18" s="3" t="s">
        <v>49</v>
      </c>
      <c r="B18" s="3" t="s">
        <v>62</v>
      </c>
      <c r="C18" s="3" t="s">
        <v>63</v>
      </c>
      <c r="D18" s="3">
        <v>3</v>
      </c>
      <c r="E18" s="3" t="s">
        <v>398</v>
      </c>
      <c r="G18" s="3" t="s">
        <v>407</v>
      </c>
      <c r="I18" s="3" t="str">
        <f t="shared" si="0"/>
        <v xml:space="preserve">    ('CAP', '4401', 'Image Processing Fundamentals', 3, 'Practical introduction to a range of fundamental image processing algorithms. Extensive programming, with emphasis on image analysis and transformation techniques. Image transformation and manipulation.', 4000),</v>
      </c>
      <c r="K18" s="3" t="str">
        <f t="shared" si="1"/>
        <v xml:space="preserve">    @COURSE_CAP_4401  INT,</v>
      </c>
      <c r="M18" s="3" t="str">
        <f t="shared" si="2"/>
        <v>SELECT @COURSE_CAP_4401  = CourseID FROM Bellini.Course WHERE CoursePrefix = 'CAP' AND CourseNumber = '4401';</v>
      </c>
      <c r="O18" s="3" t="s">
        <v>915</v>
      </c>
    </row>
    <row r="19" spans="1:15" x14ac:dyDescent="0.3">
      <c r="A19" s="3" t="s">
        <v>49</v>
      </c>
      <c r="B19" s="3" t="s">
        <v>64</v>
      </c>
      <c r="C19" s="3" t="s">
        <v>65</v>
      </c>
      <c r="D19" s="3">
        <v>3</v>
      </c>
      <c r="E19" s="3" t="s">
        <v>398</v>
      </c>
      <c r="G19" s="3" t="s">
        <v>408</v>
      </c>
      <c r="I19" s="3" t="str">
        <f t="shared" si="0"/>
        <v xml:space="preserve">    ('CAP', '4410', 'Computer Vision', 3, 'Introduction to topics such as image formation, segmentation, feature extraction, matching, shape recovery, texture analysis, object recognition, and dynamic scene analysis.', 4000),</v>
      </c>
      <c r="K19" s="3" t="str">
        <f t="shared" si="1"/>
        <v xml:space="preserve">    @COURSE_CAP_4410  INT,</v>
      </c>
      <c r="M19" s="3" t="str">
        <f t="shared" si="2"/>
        <v>SELECT @COURSE_CAP_4410  = CourseID FROM Bellini.Course WHERE CoursePrefix = 'CAP' AND CourseNumber = '4410';</v>
      </c>
      <c r="O19" s="3" t="s">
        <v>916</v>
      </c>
    </row>
    <row r="20" spans="1:15" x14ac:dyDescent="0.3">
      <c r="A20" s="3" t="s">
        <v>49</v>
      </c>
      <c r="B20" s="3" t="s">
        <v>66</v>
      </c>
      <c r="C20" s="3" t="s">
        <v>67</v>
      </c>
      <c r="D20" s="3">
        <v>3</v>
      </c>
      <c r="E20" s="3" t="s">
        <v>398</v>
      </c>
      <c r="G20" s="3" t="s">
        <v>409</v>
      </c>
      <c r="I20" s="3" t="str">
        <f t="shared" si="0"/>
        <v xml:space="preserve">    ('CAP', '4621', 'Introduction to Artificial Intelligence', 3, 'Introduction to Artificial Intelligence covers basic concepts, tools, and techniques used to produce artificial intelligence. Basic machine learning concepts. Use of different software tools for searching, reasoning and learning.', 4000),</v>
      </c>
      <c r="K20" s="3" t="str">
        <f t="shared" si="1"/>
        <v xml:space="preserve">    @COURSE_CAP_4621  INT,</v>
      </c>
      <c r="M20" s="3" t="str">
        <f t="shared" si="2"/>
        <v>SELECT @COURSE_CAP_4621  = CourseID FROM Bellini.Course WHERE CoursePrefix = 'CAP' AND CourseNumber = '4621';</v>
      </c>
      <c r="O20" s="3" t="s">
        <v>917</v>
      </c>
    </row>
    <row r="21" spans="1:15" x14ac:dyDescent="0.3">
      <c r="A21" s="3" t="s">
        <v>49</v>
      </c>
      <c r="B21" s="3" t="s">
        <v>68</v>
      </c>
      <c r="C21" s="3" t="s">
        <v>69</v>
      </c>
      <c r="D21" s="3">
        <v>3</v>
      </c>
      <c r="E21" s="3" t="s">
        <v>398</v>
      </c>
      <c r="G21" s="3" t="s">
        <v>410</v>
      </c>
      <c r="I21" s="3" t="str">
        <f t="shared" si="0"/>
        <v xml:space="preserve">    ('CAP', '4628', 'Affective Computing', 3, 'The study of systems that can recognize, interpret, process, and simulate human affect. Topics may include physiology of emotion, lie detection, wearable devices, music, gaming, and ethical concerns associated with affective computing.', 4000),</v>
      </c>
      <c r="K21" s="3" t="str">
        <f t="shared" si="1"/>
        <v xml:space="preserve">    @COURSE_CAP_4628  INT,</v>
      </c>
      <c r="M21" s="3" t="str">
        <f t="shared" si="2"/>
        <v>SELECT @COURSE_CAP_4628  = CourseID FROM Bellini.Course WHERE CoursePrefix = 'CAP' AND CourseNumber = '4628';</v>
      </c>
      <c r="O21" s="3" t="s">
        <v>918</v>
      </c>
    </row>
    <row r="22" spans="1:15" x14ac:dyDescent="0.3">
      <c r="A22" s="3" t="s">
        <v>49</v>
      </c>
      <c r="B22" s="3" t="s">
        <v>70</v>
      </c>
      <c r="C22" s="3" t="s">
        <v>71</v>
      </c>
      <c r="D22" s="3">
        <v>3</v>
      </c>
      <c r="E22" s="3" t="s">
        <v>398</v>
      </c>
      <c r="G22" s="3" t="s">
        <v>411</v>
      </c>
      <c r="I22" s="3" t="str">
        <f t="shared" si="0"/>
        <v xml:space="preserve">    ('CAP', '4637', 'Automated Reasoning and Theorem Proving', 3, 'This course covers the principles of automated reasoning/mechanical theorem proving. Topics to be covered include propositional logic, predicate logic, skolem standard forms, various resolution principles and methods, and non-classical logics.', 4000),</v>
      </c>
      <c r="K22" s="3" t="str">
        <f t="shared" si="1"/>
        <v xml:space="preserve">    @COURSE_CAP_4637  INT,</v>
      </c>
      <c r="M22" s="3" t="str">
        <f t="shared" si="2"/>
        <v>SELECT @COURSE_CAP_4637  = CourseID FROM Bellini.Course WHERE CoursePrefix = 'CAP' AND CourseNumber = '4637';</v>
      </c>
      <c r="O22" s="3" t="s">
        <v>919</v>
      </c>
    </row>
    <row r="23" spans="1:15" x14ac:dyDescent="0.3">
      <c r="A23" s="3" t="s">
        <v>49</v>
      </c>
      <c r="B23" s="3" t="s">
        <v>72</v>
      </c>
      <c r="C23" s="3" t="s">
        <v>73</v>
      </c>
      <c r="D23" s="3">
        <v>3</v>
      </c>
      <c r="E23" s="3" t="s">
        <v>398</v>
      </c>
      <c r="G23" s="3" t="s">
        <v>412</v>
      </c>
      <c r="I23" s="3" t="str">
        <f t="shared" si="0"/>
        <v xml:space="preserve">    ('CAP', '4641', 'Natural Language Processing', 3, 'The concepts and principles of computer processing of natural language, including linguistic phenomena, formal methods, and applications.', 4000),</v>
      </c>
      <c r="K23" s="3" t="str">
        <f t="shared" si="1"/>
        <v xml:space="preserve">    @COURSE_CAP_4641  INT,</v>
      </c>
      <c r="M23" s="3" t="str">
        <f t="shared" si="2"/>
        <v>SELECT @COURSE_CAP_4641  = CourseID FROM Bellini.Course WHERE CoursePrefix = 'CAP' AND CourseNumber = '4641';</v>
      </c>
      <c r="O23" s="3" t="s">
        <v>920</v>
      </c>
    </row>
    <row r="24" spans="1:15" x14ac:dyDescent="0.3">
      <c r="A24" s="3" t="s">
        <v>49</v>
      </c>
      <c r="B24" s="3" t="s">
        <v>74</v>
      </c>
      <c r="C24" s="3" t="s">
        <v>75</v>
      </c>
      <c r="D24" s="3">
        <v>3</v>
      </c>
      <c r="E24" s="3" t="s">
        <v>414</v>
      </c>
      <c r="G24" s="3" t="s">
        <v>413</v>
      </c>
      <c r="I24" s="3" t="str">
        <f t="shared" si="0"/>
        <v xml:space="preserve">    ('CAP', '4662', 'Introduction to Robotics', 3, 'An introduction to the fundamentals of robotics. Students will learn the fundamentals of robotics including kinematics, inverse kinematics, Jacobian, velocity, configuration space, motion planning, and path planning algorithms.', 4000),</v>
      </c>
      <c r="K24" s="3" t="str">
        <f t="shared" si="1"/>
        <v xml:space="preserve">    @COURSE_CAP_4662  INT,</v>
      </c>
      <c r="M24" s="3" t="str">
        <f t="shared" si="2"/>
        <v>SELECT @COURSE_CAP_4662  = CourseID FROM Bellini.Course WHERE CoursePrefix = 'CAP' AND CourseNumber = '4662';</v>
      </c>
      <c r="O24" s="3" t="s">
        <v>921</v>
      </c>
    </row>
    <row r="25" spans="1:15" x14ac:dyDescent="0.3">
      <c r="A25" s="3" t="s">
        <v>49</v>
      </c>
      <c r="B25" s="3" t="s">
        <v>76</v>
      </c>
      <c r="C25" s="3" t="s">
        <v>77</v>
      </c>
      <c r="D25" s="3">
        <v>3</v>
      </c>
      <c r="E25" s="3" t="s">
        <v>398</v>
      </c>
      <c r="G25" s="3" t="s">
        <v>415</v>
      </c>
      <c r="I25" s="3" t="str">
        <f t="shared" si="0"/>
        <v xml:space="preserve">    ('CAP', '4744', 'Interactive Data Visualization', 3, 'This course introduces the techniques used for developing effective visual analysis tools. The course covers principles from perception and design, and the algorithms used in visualizing a broad range of data types.', 4000),</v>
      </c>
      <c r="K25" s="3" t="str">
        <f t="shared" si="1"/>
        <v xml:space="preserve">    @COURSE_CAP_4744  INT,</v>
      </c>
      <c r="M25" s="3" t="str">
        <f t="shared" si="2"/>
        <v>SELECT @COURSE_CAP_4744  = CourseID FROM Bellini.Course WHERE CoursePrefix = 'CAP' AND CourseNumber = '4744';</v>
      </c>
      <c r="O25" s="3" t="s">
        <v>922</v>
      </c>
    </row>
    <row r="26" spans="1:15" x14ac:dyDescent="0.3">
      <c r="A26" s="3" t="s">
        <v>49</v>
      </c>
      <c r="B26" s="3" t="s">
        <v>78</v>
      </c>
      <c r="C26" s="3" t="s">
        <v>79</v>
      </c>
      <c r="D26" s="3">
        <v>3</v>
      </c>
      <c r="E26" s="3" t="s">
        <v>417</v>
      </c>
      <c r="G26" s="3" t="s">
        <v>416</v>
      </c>
      <c r="I26" s="3" t="str">
        <f t="shared" si="0"/>
        <v xml:space="preserve">    ('CAP', '4773', 'Social Media Mining', 3, 'This course introduces useful techniques to model, analyze, and understand large-scale social media, with focus on social network analysis, user modeling, bot detection, and dynamical processes over social and information networks.', 4000),</v>
      </c>
      <c r="K26" s="3" t="str">
        <f t="shared" si="1"/>
        <v xml:space="preserve">    @COURSE_CAP_4773  INT,</v>
      </c>
      <c r="M26" s="3" t="str">
        <f t="shared" si="2"/>
        <v>SELECT @COURSE_CAP_4773  = CourseID FROM Bellini.Course WHERE CoursePrefix = 'CAP' AND CourseNumber = '4773';</v>
      </c>
      <c r="O26" s="3" t="s">
        <v>923</v>
      </c>
    </row>
    <row r="27" spans="1:15" x14ac:dyDescent="0.3">
      <c r="A27" s="3" t="s">
        <v>80</v>
      </c>
      <c r="B27" s="3" t="s">
        <v>81</v>
      </c>
      <c r="C27" s="3" t="s">
        <v>82</v>
      </c>
      <c r="D27" s="3">
        <v>3</v>
      </c>
      <c r="E27" s="3" t="s">
        <v>419</v>
      </c>
      <c r="G27" s="3" t="s">
        <v>418</v>
      </c>
      <c r="I27" s="3" t="str">
        <f t="shared" si="0"/>
        <v xml:space="preserve">    ('CDA', '3103', 'Computer Organization', 3, 'Introduction to computer hardware, logic elements and Boolean algebra, computer arithmetic, the central processing unit, assembly language programming, input/output, and memory.', 3000),</v>
      </c>
      <c r="K27" s="3" t="str">
        <f t="shared" si="1"/>
        <v xml:space="preserve">    @COURSE_CDA_3103  INT,</v>
      </c>
      <c r="M27" s="3" t="str">
        <f t="shared" si="2"/>
        <v>SELECT @COURSE_CDA_3103  = CourseID FROM Bellini.Course WHERE CoursePrefix = 'CDA' AND CourseNumber = '3103';</v>
      </c>
      <c r="O27" s="3" t="s">
        <v>924</v>
      </c>
    </row>
    <row r="28" spans="1:15" x14ac:dyDescent="0.3">
      <c r="A28" s="3" t="s">
        <v>80</v>
      </c>
      <c r="B28" s="3" t="s">
        <v>83</v>
      </c>
      <c r="C28" s="3" t="s">
        <v>84</v>
      </c>
      <c r="D28" s="3">
        <v>3</v>
      </c>
      <c r="E28" s="3" t="s">
        <v>421</v>
      </c>
      <c r="F28" s="3" t="s">
        <v>422</v>
      </c>
      <c r="G28" s="3" t="s">
        <v>420</v>
      </c>
      <c r="I28" s="3" t="str">
        <f t="shared" si="0"/>
        <v xml:space="preserve">    ('CDA', '3201', 'Computer Logic and Design', 3, 'CSE and EE majors. Others by special permission. Advanced coverage of Boolean Algebra, introduction to minimization of combinational logic circuits, analysis and synthesis of sequential circuits, testing of logic circuits and programmable logic devices.', 3000),</v>
      </c>
      <c r="K28" s="3" t="str">
        <f t="shared" si="1"/>
        <v xml:space="preserve">    @COURSE_CDA_3201  INT,</v>
      </c>
      <c r="M28" s="3" t="str">
        <f t="shared" si="2"/>
        <v>SELECT @COURSE_CDA_3201  = CourseID FROM Bellini.Course WHERE CoursePrefix = 'CDA' AND CourseNumber = '3201';</v>
      </c>
      <c r="O28" s="3" t="s">
        <v>925</v>
      </c>
    </row>
    <row r="29" spans="1:15" x14ac:dyDescent="0.3">
      <c r="A29" s="3" t="s">
        <v>80</v>
      </c>
      <c r="B29" s="3" t="s">
        <v>85</v>
      </c>
      <c r="C29" s="3" t="s">
        <v>86</v>
      </c>
      <c r="D29" s="3">
        <v>1</v>
      </c>
      <c r="F29" s="3" t="s">
        <v>406</v>
      </c>
      <c r="G29" s="3" t="s">
        <v>423</v>
      </c>
      <c r="I29" s="3" t="str">
        <f t="shared" si="0"/>
        <v xml:space="preserve">    ('CDA', '3201L', 'Computer Logic and Design Lab ', 1, 'Laboratory component of the Computer Logic and Design class.', 3000),</v>
      </c>
      <c r="K29" s="3" t="str">
        <f t="shared" si="1"/>
        <v xml:space="preserve">    @COURSE_CDA_3201L INT,</v>
      </c>
      <c r="M29" s="3" t="str">
        <f t="shared" si="2"/>
        <v>SELECT @COURSE_CDA_3201L = CourseID FROM Bellini.Course WHERE CoursePrefix = 'CDA' AND CourseNumber = '3201L';</v>
      </c>
      <c r="O29" s="3" t="s">
        <v>890</v>
      </c>
    </row>
    <row r="30" spans="1:15" x14ac:dyDescent="0.3">
      <c r="A30" s="3" t="s">
        <v>80</v>
      </c>
      <c r="B30" s="3" t="s">
        <v>87</v>
      </c>
      <c r="C30" s="3" t="s">
        <v>88</v>
      </c>
      <c r="D30" s="3">
        <v>3</v>
      </c>
      <c r="E30" s="3" t="s">
        <v>431</v>
      </c>
      <c r="G30" s="3" t="s">
        <v>430</v>
      </c>
      <c r="I30" s="3" t="str">
        <f t="shared" si="0"/>
        <v xml:space="preserve">    ('CDA', '4203', 'Computer System Design', 3, 'Design Methods, Top-Down design, Building Blocks, Instruction and addressing models, minicomputer design, interfacing.', 4000),</v>
      </c>
      <c r="K30" s="3" t="str">
        <f t="shared" si="1"/>
        <v xml:space="preserve">    @COURSE_CDA_4203  INT,</v>
      </c>
      <c r="M30" s="3" t="str">
        <f t="shared" si="2"/>
        <v>SELECT @COURSE_CDA_4203  = CourseID FROM Bellini.Course WHERE CoursePrefix = 'CDA' AND CourseNumber = '4203';</v>
      </c>
      <c r="O30" s="3" t="s">
        <v>926</v>
      </c>
    </row>
    <row r="31" spans="1:15" x14ac:dyDescent="0.3">
      <c r="A31" s="3" t="s">
        <v>80</v>
      </c>
      <c r="B31" s="3" t="s">
        <v>89</v>
      </c>
      <c r="C31" s="3" t="s">
        <v>90</v>
      </c>
      <c r="D31" s="3">
        <v>1</v>
      </c>
      <c r="F31" s="3" t="s">
        <v>424</v>
      </c>
      <c r="G31" s="3" t="s">
        <v>432</v>
      </c>
      <c r="I31" s="3" t="str">
        <f t="shared" si="0"/>
        <v xml:space="preserve">    ('CDA', '4203L', 'Computer System Design Lab ', 1, 'This lab introduces the student to the concept of system design. Several projects are given including building timing circuits, memory-based and communication circuits, and microcomputer-based designs.', 4000),</v>
      </c>
      <c r="K31" s="3" t="str">
        <f t="shared" si="1"/>
        <v xml:space="preserve">    @COURSE_CDA_4203L INT,</v>
      </c>
      <c r="M31" s="3" t="str">
        <f t="shared" si="2"/>
        <v>SELECT @COURSE_CDA_4203L = CourseID FROM Bellini.Course WHERE CoursePrefix = 'CDA' AND CourseNumber = '4203L';</v>
      </c>
      <c r="O31" s="3" t="s">
        <v>891</v>
      </c>
    </row>
    <row r="32" spans="1:15" x14ac:dyDescent="0.3">
      <c r="A32" s="3" t="s">
        <v>80</v>
      </c>
      <c r="B32" s="3" t="s">
        <v>91</v>
      </c>
      <c r="C32" s="3" t="s">
        <v>92</v>
      </c>
      <c r="D32" s="3">
        <v>3</v>
      </c>
      <c r="E32" s="3" t="s">
        <v>431</v>
      </c>
      <c r="G32" s="3" t="s">
        <v>433</v>
      </c>
      <c r="I32" s="3" t="str">
        <f t="shared" si="0"/>
        <v xml:space="preserve">    ('CDA', '4205', 'Computer Architecture', 3, 'Principles of the design of computer systems, processors, memories, and switches. Consideration of the register transfer representation of a computer, ALU's and their implementation, control units, memory and I/O, and the hardware support of operation systems.', 4000),</v>
      </c>
      <c r="K32" s="3" t="str">
        <f t="shared" si="1"/>
        <v xml:space="preserve">    @COURSE_CDA_4205  INT,</v>
      </c>
      <c r="M32" s="3" t="str">
        <f t="shared" si="2"/>
        <v>SELECT @COURSE_CDA_4205  = CourseID FROM Bellini.Course WHERE CoursePrefix = 'CDA' AND CourseNumber = '4205';</v>
      </c>
      <c r="O32" s="3" t="s">
        <v>927</v>
      </c>
    </row>
    <row r="33" spans="1:15" x14ac:dyDescent="0.3">
      <c r="A33" s="3" t="s">
        <v>80</v>
      </c>
      <c r="B33" s="3" t="s">
        <v>93</v>
      </c>
      <c r="C33" s="3" t="s">
        <v>94</v>
      </c>
      <c r="D33" s="3">
        <v>1</v>
      </c>
      <c r="E33" s="3" t="s">
        <v>406</v>
      </c>
      <c r="F33" s="3" t="s">
        <v>425</v>
      </c>
      <c r="G33" s="3" t="s">
        <v>434</v>
      </c>
      <c r="I33" s="3" t="str">
        <f t="shared" si="0"/>
        <v xml:space="preserve">    ('CDA', '4205L', 'Computer Architecture Lab ', 1, 'Laboratory component of the Computer Architecture class.', 4000),</v>
      </c>
      <c r="K33" s="3" t="str">
        <f t="shared" si="1"/>
        <v xml:space="preserve">    @COURSE_CDA_4205L INT,</v>
      </c>
      <c r="M33" s="3" t="str">
        <f t="shared" si="2"/>
        <v>SELECT @COURSE_CDA_4205L = CourseID FROM Bellini.Course WHERE CoursePrefix = 'CDA' AND CourseNumber = '4205L';</v>
      </c>
      <c r="O33" s="3" t="s">
        <v>892</v>
      </c>
    </row>
    <row r="34" spans="1:15" x14ac:dyDescent="0.3">
      <c r="A34" s="3" t="s">
        <v>80</v>
      </c>
      <c r="B34" s="3" t="s">
        <v>95</v>
      </c>
      <c r="C34" s="3" t="s">
        <v>96</v>
      </c>
      <c r="D34" s="3">
        <v>3</v>
      </c>
      <c r="E34" s="3" t="s">
        <v>431</v>
      </c>
      <c r="G34" s="3" t="s">
        <v>435</v>
      </c>
      <c r="I34" s="3" t="str">
        <f t="shared" si="0"/>
        <v xml:space="preserve">    ('CDA', '4213', 'CMOS-VLSI Design', 3, 'Covers analysis and design of CMOS processing technology, CMOS logic and circuit design, layout timing and delay, and power and thermal issues. CMOS transistor theory. VLSI system design, case studies and rapid prototype chip design.', 4000),</v>
      </c>
      <c r="K34" s="3" t="str">
        <f t="shared" si="1"/>
        <v xml:space="preserve">    @COURSE_CDA_4213  INT,</v>
      </c>
      <c r="M34" s="3" t="str">
        <f t="shared" si="2"/>
        <v>SELECT @COURSE_CDA_4213  = CourseID FROM Bellini.Course WHERE CoursePrefix = 'CDA' AND CourseNumber = '4213';</v>
      </c>
      <c r="O34" s="3" t="s">
        <v>928</v>
      </c>
    </row>
    <row r="35" spans="1:15" x14ac:dyDescent="0.3">
      <c r="A35" s="3" t="s">
        <v>80</v>
      </c>
      <c r="B35" s="3" t="s">
        <v>97</v>
      </c>
      <c r="C35" s="3" t="s">
        <v>98</v>
      </c>
      <c r="D35" s="3">
        <v>1</v>
      </c>
      <c r="E35" s="3" t="s">
        <v>431</v>
      </c>
      <c r="F35" s="3" t="s">
        <v>426</v>
      </c>
      <c r="G35" s="3" t="s">
        <v>436</v>
      </c>
      <c r="I35" s="3" t="str">
        <f t="shared" si="0"/>
        <v xml:space="preserve">    ('CDA', '4213L', 'CMOS-VLSI Design Lab ', 1, 'Scalable CMOS layout design, circuit extraction, transistor-level and lay-out level simulation, SPICE parameters/modeling, transistor sizing, standard and macro-cell based layout, static/dynamic CMOS, combinational/sequential block layout, memory I/O design.', 4000),</v>
      </c>
      <c r="K35" s="3" t="str">
        <f t="shared" si="1"/>
        <v xml:space="preserve">    @COURSE_CDA_4213L INT,</v>
      </c>
      <c r="M35" s="3" t="str">
        <f t="shared" si="2"/>
        <v>SELECT @COURSE_CDA_4213L = CourseID FROM Bellini.Course WHERE CoursePrefix = 'CDA' AND CourseNumber = '4213L';</v>
      </c>
      <c r="O35" s="3" t="s">
        <v>893</v>
      </c>
    </row>
    <row r="36" spans="1:15" x14ac:dyDescent="0.3">
      <c r="A36" s="3" t="s">
        <v>80</v>
      </c>
      <c r="B36" s="3" t="s">
        <v>99</v>
      </c>
      <c r="C36" s="3" t="s">
        <v>100</v>
      </c>
      <c r="D36" s="3">
        <v>3</v>
      </c>
      <c r="E36" s="3" t="s">
        <v>431</v>
      </c>
      <c r="G36" s="3" t="s">
        <v>437</v>
      </c>
      <c r="I36" s="3" t="str">
        <f t="shared" si="0"/>
        <v xml:space="preserve">    ('CDA', '4253', 'Field Programmable Gate Array System Design and Analysis', 3, 'Covers analysis and design of digital systems using VHDL simulation. Provides experience with field programmable logic gates and gate arrays. Introduces the requirements for field programmable systems; testing of circuitry, and analysis of system design.', 4000),</v>
      </c>
      <c r="K36" s="3" t="str">
        <f t="shared" si="1"/>
        <v xml:space="preserve">    @COURSE_CDA_4253  INT,</v>
      </c>
      <c r="M36" s="3" t="str">
        <f t="shared" si="2"/>
        <v>SELECT @COURSE_CDA_4253  = CourseID FROM Bellini.Course WHERE CoursePrefix = 'CDA' AND CourseNumber = '4253';</v>
      </c>
      <c r="O36" s="3" t="s">
        <v>929</v>
      </c>
    </row>
    <row r="37" spans="1:15" x14ac:dyDescent="0.3">
      <c r="A37" s="3" t="s">
        <v>80</v>
      </c>
      <c r="B37" s="3" t="s">
        <v>101</v>
      </c>
      <c r="C37" s="3" t="s">
        <v>102</v>
      </c>
      <c r="D37" s="3">
        <v>3</v>
      </c>
      <c r="E37" s="3" t="s">
        <v>406</v>
      </c>
      <c r="G37" s="3" t="s">
        <v>440</v>
      </c>
      <c r="I37" s="3" t="str">
        <f t="shared" si="0"/>
        <v xml:space="preserve">    ('CDA', '4321', 'Cryptographic Hardware and Embedded Systems', 3, 'Efficient hardware implementation of cryptographic algorithms is presented to meet the performance and cost requirements of computing platforms from handheld to server-level computers. Cryptographic implementation attacks and countermeasures are covered.', 4000),</v>
      </c>
      <c r="K37" s="3" t="str">
        <f t="shared" si="1"/>
        <v xml:space="preserve">    @COURSE_CDA_4321  INT,</v>
      </c>
      <c r="M37" s="3" t="str">
        <f t="shared" si="2"/>
        <v>SELECT @COURSE_CDA_4321  = CourseID FROM Bellini.Course WHERE CoursePrefix = 'CDA' AND CourseNumber = '4321';</v>
      </c>
      <c r="O37" s="3" t="s">
        <v>930</v>
      </c>
    </row>
    <row r="38" spans="1:15" x14ac:dyDescent="0.3">
      <c r="A38" s="3" t="s">
        <v>80</v>
      </c>
      <c r="B38" s="3" t="s">
        <v>103</v>
      </c>
      <c r="C38" s="3" t="s">
        <v>104</v>
      </c>
      <c r="D38" s="3">
        <v>3</v>
      </c>
      <c r="E38" s="3" t="s">
        <v>431</v>
      </c>
      <c r="G38" s="3" t="s">
        <v>441</v>
      </c>
      <c r="I38" s="3" t="str">
        <f t="shared" si="0"/>
        <v xml:space="preserve">    ('CDA', '4322', 'Principles of Secure Hardware Design', 3, 'This course introduces the fundamentals of hardware security for integrated circuits, intellectual property, and reconfigurable devices, including hardware security primitives, Trojans, physical and side-channel attacks, and emerging countermeasures.', 4000),</v>
      </c>
      <c r="K38" s="3" t="str">
        <f t="shared" si="1"/>
        <v xml:space="preserve">    @COURSE_CDA_4322  INT,</v>
      </c>
      <c r="M38" s="3" t="str">
        <f t="shared" si="2"/>
        <v>SELECT @COURSE_CDA_4322  = CourseID FROM Bellini.Course WHERE CoursePrefix = 'CDA' AND CourseNumber = '4322';</v>
      </c>
      <c r="O38" s="3" t="s">
        <v>931</v>
      </c>
    </row>
    <row r="39" spans="1:15" x14ac:dyDescent="0.3">
      <c r="A39" s="3" t="s">
        <v>80</v>
      </c>
      <c r="B39" s="3" t="s">
        <v>105</v>
      </c>
      <c r="C39" s="3" t="s">
        <v>106</v>
      </c>
      <c r="D39" s="3">
        <v>3</v>
      </c>
      <c r="E39" s="3" t="s">
        <v>431</v>
      </c>
      <c r="G39" s="3" t="s">
        <v>442</v>
      </c>
      <c r="I39" s="3" t="str">
        <f t="shared" si="0"/>
        <v xml:space="preserve">    ('CDA', '4323', 'Practical Hardware Security', 3, 'This course introduces practical aspects of hardware security for integrated circuits and reconfigurable hardware, with hands-on assignments introducing physical, side channel, and system-level attacks and countermeasures.', 4000),</v>
      </c>
      <c r="K39" s="3" t="str">
        <f t="shared" si="1"/>
        <v xml:space="preserve">    @COURSE_CDA_4323  INT,</v>
      </c>
      <c r="M39" s="3" t="str">
        <f t="shared" si="2"/>
        <v>SELECT @COURSE_CDA_4323  = CourseID FROM Bellini.Course WHERE CoursePrefix = 'CDA' AND CourseNumber = '4323';</v>
      </c>
      <c r="O39" s="3" t="s">
        <v>932</v>
      </c>
    </row>
    <row r="40" spans="1:15" x14ac:dyDescent="0.3">
      <c r="A40" s="3" t="s">
        <v>80</v>
      </c>
      <c r="B40" s="3" t="s">
        <v>66</v>
      </c>
      <c r="C40" s="3" t="s">
        <v>107</v>
      </c>
      <c r="D40" s="3">
        <v>3</v>
      </c>
      <c r="E40" s="3" t="s">
        <v>406</v>
      </c>
      <c r="G40" s="3" t="s">
        <v>443</v>
      </c>
      <c r="I40" s="3" t="str">
        <f t="shared" si="0"/>
        <v xml:space="preserve">    ('CDA', '4621', 'Control of Mobile Robots', 3, 'Mobile Robotic Control Systems design and implementation. Includes microcontroller, sensor, and actuator control processes for localization and navigation. Team project development of software interface for robot control.', 4000),</v>
      </c>
      <c r="K40" s="3" t="str">
        <f t="shared" si="1"/>
        <v xml:space="preserve">    @COURSE_CDA_4621  INT,</v>
      </c>
      <c r="M40" s="3" t="str">
        <f t="shared" si="2"/>
        <v>SELECT @COURSE_CDA_4621  = CourseID FROM Bellini.Course WHERE CoursePrefix = 'CDA' AND CourseNumber = '4621';</v>
      </c>
      <c r="O40" s="3" t="s">
        <v>933</v>
      </c>
    </row>
    <row r="41" spans="1:15" x14ac:dyDescent="0.3">
      <c r="A41" s="3" t="s">
        <v>108</v>
      </c>
      <c r="B41" s="3" t="s">
        <v>109</v>
      </c>
      <c r="C41" s="3" t="s">
        <v>110</v>
      </c>
      <c r="D41" s="3">
        <v>3</v>
      </c>
      <c r="E41" s="3" t="s">
        <v>404</v>
      </c>
      <c r="G41" s="3" t="s">
        <v>444</v>
      </c>
      <c r="I41" s="3" t="str">
        <f t="shared" si="0"/>
        <v xml:space="preserve">    ('CEN', '3722', 'Human Computer Interfaces for Information Technology', 3, 'The basics of HCI in terms of psychology, computers, and their integration into design and practice are discussed. A life-cycle development framework is presented where user needs, functionality, interaction, and usability are taken into account.', 3000),</v>
      </c>
      <c r="K41" s="3" t="str">
        <f t="shared" si="1"/>
        <v xml:space="preserve">    @COURSE_CEN_3722  INT,</v>
      </c>
      <c r="M41" s="3" t="str">
        <f t="shared" si="2"/>
        <v>SELECT @COURSE_CEN_3722  = CourseID FROM Bellini.Course WHERE CoursePrefix = 'CEN' AND CourseNumber = '3722';</v>
      </c>
      <c r="O41" s="3" t="s">
        <v>934</v>
      </c>
    </row>
    <row r="42" spans="1:15" x14ac:dyDescent="0.3">
      <c r="A42" s="3" t="s">
        <v>108</v>
      </c>
      <c r="B42" s="3" t="s">
        <v>111</v>
      </c>
      <c r="C42" s="3" t="s">
        <v>112</v>
      </c>
      <c r="D42" s="3">
        <v>3</v>
      </c>
      <c r="E42" s="3" t="s">
        <v>398</v>
      </c>
      <c r="G42" s="3" t="s">
        <v>445</v>
      </c>
      <c r="I42" s="3" t="str">
        <f t="shared" si="0"/>
        <v xml:space="preserve">    ('CEN', '4020', 'Software Engineering', 3, 'An overview of software engineering techniques for producing high quality software. Student will participate in a software development team.', 4000),</v>
      </c>
      <c r="K42" s="3" t="str">
        <f t="shared" si="1"/>
        <v xml:space="preserve">    @COURSE_CEN_4020  INT,</v>
      </c>
      <c r="M42" s="3" t="str">
        <f t="shared" si="2"/>
        <v>SELECT @COURSE_CEN_4020  = CourseID FROM Bellini.Course WHERE CoursePrefix = 'CEN' AND CourseNumber = '4020';</v>
      </c>
      <c r="O42" s="3" t="s">
        <v>935</v>
      </c>
    </row>
    <row r="43" spans="1:15" x14ac:dyDescent="0.3">
      <c r="A43" s="3" t="s">
        <v>108</v>
      </c>
      <c r="B43" s="3" t="s">
        <v>113</v>
      </c>
      <c r="C43" s="3" t="s">
        <v>114</v>
      </c>
      <c r="D43" s="3">
        <v>3</v>
      </c>
      <c r="E43" s="3" t="s">
        <v>447</v>
      </c>
      <c r="G43" s="3" t="s">
        <v>446</v>
      </c>
      <c r="I43" s="3" t="str">
        <f t="shared" si="0"/>
        <v xml:space="preserve">    ('CEN', '4072', 'Software Testing', 3, 'The course provides the fundamental principles and tools for testing and validating large-scale software systems. The course is open to majors as well as non-majors.', 4000),</v>
      </c>
      <c r="K43" s="3" t="str">
        <f t="shared" si="1"/>
        <v xml:space="preserve">    @COURSE_CEN_4072  INT,</v>
      </c>
      <c r="M43" s="3" t="str">
        <f t="shared" si="2"/>
        <v>SELECT @COURSE_CEN_4072  = CourseID FROM Bellini.Course WHERE CoursePrefix = 'CEN' AND CourseNumber = '4072';</v>
      </c>
      <c r="O43" s="3" t="s">
        <v>936</v>
      </c>
    </row>
    <row r="44" spans="1:15" x14ac:dyDescent="0.3">
      <c r="A44" s="3" t="s">
        <v>108</v>
      </c>
      <c r="B44" s="3" t="s">
        <v>115</v>
      </c>
      <c r="C44" s="3" t="s">
        <v>116</v>
      </c>
      <c r="D44" s="3">
        <v>3</v>
      </c>
      <c r="E44" s="3" t="s">
        <v>404</v>
      </c>
      <c r="G44" s="3" t="s">
        <v>448</v>
      </c>
      <c r="I44" s="3" t="str">
        <f t="shared" si="0"/>
        <v xml:space="preserve">    ('CEN', '4360', 'Mobile Applications Development for IT', 3, 'The development architecture for mobile apps is presented as are a number of development tools. Students design and implement mobile apps of varying complexity with a focus on the project development process.', 4000),</v>
      </c>
      <c r="K44" s="3" t="str">
        <f t="shared" si="1"/>
        <v xml:space="preserve">    @COURSE_CEN_4360  INT,</v>
      </c>
      <c r="M44" s="3" t="str">
        <f t="shared" si="2"/>
        <v>SELECT @COURSE_CEN_4360  = CourseID FROM Bellini.Course WHERE CoursePrefix = 'CEN' AND CourseNumber = '4360';</v>
      </c>
      <c r="O44" s="3" t="s">
        <v>937</v>
      </c>
    </row>
    <row r="45" spans="1:15" x14ac:dyDescent="0.3">
      <c r="A45" s="3" t="s">
        <v>117</v>
      </c>
      <c r="B45" s="3" t="s">
        <v>118</v>
      </c>
      <c r="C45" s="3" t="s">
        <v>119</v>
      </c>
      <c r="D45" s="3">
        <v>3</v>
      </c>
      <c r="G45" s="3" t="s">
        <v>449</v>
      </c>
      <c r="I45" s="3" t="str">
        <f t="shared" si="0"/>
        <v xml:space="preserve">    ('CGS', '1540', 'Introduction to Databases for Information Technology', 3, 'An introduction to databases, their uses, design, and implementation with IT applications. Query languages, data organization, and modeling are covered. The course emphasizes standard practices for managing information.', 1000),</v>
      </c>
      <c r="K45" s="3" t="str">
        <f t="shared" si="1"/>
        <v xml:space="preserve">    @COURSE_CGS_1540  INT,</v>
      </c>
      <c r="M45" s="3" t="str">
        <f t="shared" si="2"/>
        <v>SELECT @COURSE_CGS_1540  = CourseID FROM Bellini.Course WHERE CoursePrefix = 'CGS' AND CourseNumber = '1540';</v>
      </c>
      <c r="O45" s="3" t="s">
        <v>938</v>
      </c>
    </row>
    <row r="46" spans="1:15" x14ac:dyDescent="0.3">
      <c r="A46" s="3" t="s">
        <v>117</v>
      </c>
      <c r="B46" s="3">
        <v>2100</v>
      </c>
      <c r="C46" s="3" t="s">
        <v>580</v>
      </c>
      <c r="D46" s="3">
        <v>3</v>
      </c>
      <c r="G46" s="3" t="s">
        <v>581</v>
      </c>
      <c r="I46" s="3" t="str">
        <f t="shared" si="0"/>
        <v xml:space="preserve">    ('CGS', '2100', 'Computers in Business', 3, 'A study of the use and impact of computers in all areas of business organizations. Course includes hands-on experience and the use of software packages for business analysis', 2000),</v>
      </c>
      <c r="K46" s="3" t="str">
        <f t="shared" si="1"/>
        <v xml:space="preserve">    @COURSE_CGS_2100  INT,</v>
      </c>
      <c r="M46" s="3" t="str">
        <f t="shared" si="2"/>
        <v>SELECT @COURSE_CGS_2100  = CourseID FROM Bellini.Course WHERE CoursePrefix = 'CGS' AND CourseNumber = '2100';</v>
      </c>
      <c r="O46" s="3" t="s">
        <v>939</v>
      </c>
    </row>
    <row r="47" spans="1:15" x14ac:dyDescent="0.3">
      <c r="A47" s="3" t="s">
        <v>117</v>
      </c>
      <c r="B47" s="3" t="s">
        <v>120</v>
      </c>
      <c r="C47" s="3" t="s">
        <v>121</v>
      </c>
      <c r="D47" s="3">
        <v>3</v>
      </c>
      <c r="E47" s="3" t="s">
        <v>428</v>
      </c>
      <c r="G47" s="3" t="s">
        <v>450</v>
      </c>
      <c r="I47" s="3" t="str">
        <f t="shared" si="0"/>
        <v xml:space="preserve">    ('CGS', '3303', 'IT Concepts', 3, 'Elements of computers are discussed. Core areas of IT are introduced: human computer interaction, information management, networking, system administration and maintenance, system integration and architecture, and web systems and technologies.', 3000),</v>
      </c>
      <c r="K47" s="3" t="str">
        <f t="shared" si="1"/>
        <v xml:space="preserve">    @COURSE_CGS_3303  INT,</v>
      </c>
      <c r="M47" s="3" t="str">
        <f t="shared" si="2"/>
        <v>SELECT @COURSE_CGS_3303  = CourseID FROM Bellini.Course WHERE CoursePrefix = 'CGS' AND CourseNumber = '3303';</v>
      </c>
      <c r="O47" s="3" t="s">
        <v>940</v>
      </c>
    </row>
    <row r="48" spans="1:15" x14ac:dyDescent="0.3">
      <c r="A48" s="3" t="s">
        <v>117</v>
      </c>
      <c r="B48" s="3" t="s">
        <v>122</v>
      </c>
      <c r="C48" s="3" t="s">
        <v>123</v>
      </c>
      <c r="D48" s="3">
        <v>3</v>
      </c>
      <c r="E48" s="3" t="s">
        <v>427</v>
      </c>
      <c r="G48" s="3" t="s">
        <v>451</v>
      </c>
      <c r="I48" s="3" t="str">
        <f t="shared" si="0"/>
        <v xml:space="preserve">    ('CGS', '3853', 'Web Systems for IT', 3, 'Examines how web sites are developed. Focus on client-side and server-side scripting including HTML, JavaScript, and CSS. A substantial project requiring the design and implementation of an online web site is required.', 3000),</v>
      </c>
      <c r="K48" s="3" t="str">
        <f t="shared" si="1"/>
        <v xml:space="preserve">    @COURSE_CGS_3853  INT,</v>
      </c>
      <c r="M48" s="3" t="str">
        <f t="shared" si="2"/>
        <v>SELECT @COURSE_CGS_3853  = CourseID FROM Bellini.Course WHERE CoursePrefix = 'CGS' AND CourseNumber = '3853';</v>
      </c>
      <c r="O48" s="3" t="s">
        <v>941</v>
      </c>
    </row>
    <row r="49" spans="1:15" x14ac:dyDescent="0.3">
      <c r="A49" s="3" t="s">
        <v>124</v>
      </c>
      <c r="B49" s="3" t="s">
        <v>324</v>
      </c>
      <c r="C49" s="3" t="s">
        <v>452</v>
      </c>
      <c r="D49" s="3">
        <v>3</v>
      </c>
      <c r="G49" s="3" t="s">
        <v>453</v>
      </c>
      <c r="I49" s="3" t="str">
        <f t="shared" si="0"/>
        <v xml:space="preserve">    ('CHM', '2020', 'Chemistry for Liberal Studies I', 3, 'This course is designed for liberal arts students to learn basic chemical principles. Students will learn about reactions, energy and the scientific method. The course will have an emphasis on the chemistry of global climate change.', 2000),</v>
      </c>
      <c r="K49" s="3" t="str">
        <f t="shared" si="1"/>
        <v xml:space="preserve">    @COURSE_CHM_2020  INT,</v>
      </c>
      <c r="M49" s="3" t="str">
        <f t="shared" si="2"/>
        <v>SELECT @COURSE_CHM_2020  = CourseID FROM Bellini.Course WHERE CoursePrefix = 'CHM' AND CourseNumber = '2020';</v>
      </c>
      <c r="O49" s="3" t="s">
        <v>942</v>
      </c>
    </row>
    <row r="50" spans="1:15" x14ac:dyDescent="0.3">
      <c r="A50" s="3" t="s">
        <v>124</v>
      </c>
      <c r="B50" s="3" t="s">
        <v>125</v>
      </c>
      <c r="C50" s="3" t="s">
        <v>126</v>
      </c>
      <c r="D50" s="3">
        <v>3</v>
      </c>
      <c r="E50" s="3" t="s">
        <v>460</v>
      </c>
      <c r="G50" s="3" t="s">
        <v>454</v>
      </c>
      <c r="I50" s="3" t="str">
        <f t="shared" si="0"/>
        <v xml:space="preserve">    ('CHM', '2045', 'General Chemistry I', 3, 'Principles and applications of chemistry including properties of substances and reactions, thermochemistry, atomic-molecular structure and bonding, periodic properties of elements and compounds.', 2000),</v>
      </c>
      <c r="K50" s="3" t="str">
        <f t="shared" si="1"/>
        <v xml:space="preserve">    @COURSE_CHM_2045  INT,</v>
      </c>
      <c r="M50" s="3" t="str">
        <f t="shared" si="2"/>
        <v>SELECT @COURSE_CHM_2045  = CourseID FROM Bellini.Course WHERE CoursePrefix = 'CHM' AND CourseNumber = '2045';</v>
      </c>
      <c r="O50" s="3" t="s">
        <v>943</v>
      </c>
    </row>
    <row r="51" spans="1:15" x14ac:dyDescent="0.3">
      <c r="A51" s="3" t="s">
        <v>124</v>
      </c>
      <c r="B51" s="3" t="s">
        <v>127</v>
      </c>
      <c r="C51" s="3" t="s">
        <v>128</v>
      </c>
      <c r="D51" s="3">
        <v>1</v>
      </c>
      <c r="E51" s="3" t="s">
        <v>457</v>
      </c>
      <c r="F51" s="3" t="s">
        <v>438</v>
      </c>
      <c r="G51" s="3" t="s">
        <v>456</v>
      </c>
      <c r="I51" s="3" t="str">
        <f t="shared" si="0"/>
        <v xml:space="preserve">    ('CHM', '2045L', 'General Chemistry I Laboratory ', 1, 'Laboratory portion of General Chemistry I. Introduction to laboratory techniques; study of properties of elements and compounds; synthesis and analysis of natural and commercial materials.', 2000),</v>
      </c>
      <c r="K51" s="3" t="str">
        <f t="shared" si="1"/>
        <v xml:space="preserve">    @COURSE_CHM_2045L INT,</v>
      </c>
      <c r="M51" s="3" t="str">
        <f t="shared" si="2"/>
        <v>SELECT @COURSE_CHM_2045L = CourseID FROM Bellini.Course WHERE CoursePrefix = 'CHM' AND CourseNumber = '2045L';</v>
      </c>
      <c r="O51" s="3" t="s">
        <v>894</v>
      </c>
    </row>
    <row r="52" spans="1:15" x14ac:dyDescent="0.3">
      <c r="A52" s="3" t="s">
        <v>129</v>
      </c>
      <c r="B52" s="3" t="s">
        <v>130</v>
      </c>
      <c r="C52" s="3" t="s">
        <v>131</v>
      </c>
      <c r="D52" s="3">
        <v>3</v>
      </c>
      <c r="E52" s="3" t="s">
        <v>460</v>
      </c>
      <c r="G52" s="3" t="s">
        <v>459</v>
      </c>
      <c r="I52" s="3" t="str">
        <f t="shared" si="0"/>
        <v xml:space="preserve">    ('CHS', '2440', 'General Chemistry for Engineers', 3, 'Introduction to important concepts and principles of chemistry with emphasis on areas considered most relevant in an engineering context.', 2000),</v>
      </c>
      <c r="K52" s="3" t="str">
        <f t="shared" si="1"/>
        <v xml:space="preserve">    @COURSE_CHS_2440  INT,</v>
      </c>
      <c r="M52" s="3" t="str">
        <f t="shared" si="2"/>
        <v>SELECT @COURSE_CHS_2440  = CourseID FROM Bellini.Course WHERE CoursePrefix = 'CHS' AND CourseNumber = '2440';</v>
      </c>
      <c r="O52" s="3" t="s">
        <v>944</v>
      </c>
    </row>
    <row r="53" spans="1:15" x14ac:dyDescent="0.3">
      <c r="A53" s="3" t="s">
        <v>129</v>
      </c>
      <c r="B53" s="3" t="s">
        <v>132</v>
      </c>
      <c r="C53" s="3" t="s">
        <v>133</v>
      </c>
      <c r="D53" s="3">
        <v>1</v>
      </c>
      <c r="F53" s="3" t="s">
        <v>439</v>
      </c>
      <c r="G53" s="3" t="s">
        <v>461</v>
      </c>
      <c r="I53" s="3" t="str">
        <f t="shared" si="0"/>
        <v xml:space="preserve">    ('CHS', '2440L', 'General Chemistry for Engineers Lab ', 1, 'Laboratory portion of General Chemistry for Engineers. Introduction to laboratory techniques, study of properties of elements, synthesis and analysis of natural and commercial materials.', 2000),</v>
      </c>
      <c r="K53" s="3" t="str">
        <f t="shared" si="1"/>
        <v xml:space="preserve">    @COURSE_CHS_2440L INT,</v>
      </c>
      <c r="M53" s="3" t="str">
        <f t="shared" si="2"/>
        <v>SELECT @COURSE_CHS_2440L = CourseID FROM Bellini.Course WHERE CoursePrefix = 'CHS' AND CourseNumber = '2440L';</v>
      </c>
      <c r="O53" s="3" t="s">
        <v>895</v>
      </c>
    </row>
    <row r="54" spans="1:15" x14ac:dyDescent="0.3">
      <c r="A54" s="3" t="s">
        <v>134</v>
      </c>
      <c r="B54" s="3" t="s">
        <v>135</v>
      </c>
      <c r="C54" s="3" t="s">
        <v>136</v>
      </c>
      <c r="D54" s="3">
        <v>3</v>
      </c>
      <c r="E54" s="3" t="s">
        <v>463</v>
      </c>
      <c r="G54" s="3" t="s">
        <v>462</v>
      </c>
      <c r="I54" s="3" t="str">
        <f t="shared" si="0"/>
        <v xml:space="preserve">    ('CIS', '3213', 'Foundations of Cybersecurity', 3, 'The fundamentals of cyber security are introduced. Students learn to identify attack phases, understand the adversary's motivations, the resources and techniques they use, and the intended end-game. Techniques for mitigating threats are described.', 3000),</v>
      </c>
      <c r="K54" s="3" t="str">
        <f t="shared" si="1"/>
        <v xml:space="preserve">    @COURSE_CIS_3213  INT,</v>
      </c>
      <c r="M54" s="3" t="str">
        <f t="shared" si="2"/>
        <v>SELECT @COURSE_CIS_3213  = CourseID FROM Bellini.Course WHERE CoursePrefix = 'CIS' AND CourseNumber = '3213';</v>
      </c>
      <c r="O54" s="3" t="s">
        <v>945</v>
      </c>
    </row>
    <row r="55" spans="1:15" x14ac:dyDescent="0.3">
      <c r="A55" s="3" t="s">
        <v>134</v>
      </c>
      <c r="B55" s="3" t="s">
        <v>137</v>
      </c>
      <c r="C55" s="3" t="s">
        <v>138</v>
      </c>
      <c r="D55" s="3">
        <v>3</v>
      </c>
      <c r="G55" s="3" t="s">
        <v>464</v>
      </c>
      <c r="I55" s="3" t="str">
        <f t="shared" si="0"/>
        <v xml:space="preserve">    ('CIS', '3360', 'Principles of Information Security', 3, 'Board review of Information Security and related elements. Includes terminology, history of the discipline, overview of information security program management. Suitable for IS, criminal justice, political science, accounting information systems students', 3000),</v>
      </c>
      <c r="K55" s="3" t="str">
        <f t="shared" si="1"/>
        <v xml:space="preserve">    @COURSE_CIS_3360  INT,</v>
      </c>
      <c r="M55" s="3" t="str">
        <f t="shared" si="2"/>
        <v>SELECT @COURSE_CIS_3360  = CourseID FROM Bellini.Course WHERE CoursePrefix = 'CIS' AND CourseNumber = '3360';</v>
      </c>
      <c r="O55" s="3" t="s">
        <v>946</v>
      </c>
    </row>
    <row r="56" spans="1:15" x14ac:dyDescent="0.3">
      <c r="A56" s="3" t="s">
        <v>134</v>
      </c>
      <c r="B56" s="3" t="s">
        <v>139</v>
      </c>
      <c r="C56" s="3" t="s">
        <v>140</v>
      </c>
      <c r="D56" s="3">
        <v>3</v>
      </c>
      <c r="E56" s="3" t="s">
        <v>466</v>
      </c>
      <c r="G56" s="3" t="s">
        <v>465</v>
      </c>
      <c r="I56" s="3" t="str">
        <f t="shared" si="0"/>
        <v xml:space="preserve">    ('CIS', '3362', 'Cryptography and Information Security', 3, 'This course examines classical cryptography, entropy, stream and block ciphers, public key versus symmetric cryptography, one-way and trap-door functions, plus other specific tools and techniques in popular use.', 3000),</v>
      </c>
      <c r="K56" s="3" t="str">
        <f t="shared" si="1"/>
        <v xml:space="preserve">    @COURSE_CIS_3362  INT,</v>
      </c>
      <c r="M56" s="3" t="str">
        <f t="shared" si="2"/>
        <v>SELECT @COURSE_CIS_3362  = CourseID FROM Bellini.Course WHERE CoursePrefix = 'CIS' AND CourseNumber = '3362';</v>
      </c>
      <c r="O56" s="3" t="s">
        <v>947</v>
      </c>
    </row>
    <row r="57" spans="1:15" x14ac:dyDescent="0.3">
      <c r="A57" s="3" t="s">
        <v>134</v>
      </c>
      <c r="B57" s="3" t="s">
        <v>141</v>
      </c>
      <c r="C57" s="3" t="s">
        <v>142</v>
      </c>
      <c r="D57" s="3">
        <v>3</v>
      </c>
      <c r="E57" s="3" t="s">
        <v>468</v>
      </c>
      <c r="G57" s="3" t="s">
        <v>467</v>
      </c>
      <c r="I57" s="3" t="str">
        <f t="shared" si="0"/>
        <v xml:space="preserve">    ('CIS', '3363', 'Information Technology Systems Security', 3, 'This course covers foundations of systems security, including availability, authentication, access control, network penetration/defense, reverse engineering, cyber physical systems, forensics, supply chain management security, and secure systems design.', 3000),</v>
      </c>
      <c r="K57" s="3" t="str">
        <f t="shared" si="1"/>
        <v xml:space="preserve">    @COURSE_CIS_3363  INT,</v>
      </c>
      <c r="M57" s="3" t="str">
        <f t="shared" si="2"/>
        <v>SELECT @COURSE_CIS_3363  = CourseID FROM Bellini.Course WHERE CoursePrefix = 'CIS' AND CourseNumber = '3363';</v>
      </c>
      <c r="O57" s="3" t="s">
        <v>948</v>
      </c>
    </row>
    <row r="58" spans="1:15" x14ac:dyDescent="0.3">
      <c r="A58" s="3" t="s">
        <v>134</v>
      </c>
      <c r="B58" s="3" t="s">
        <v>143</v>
      </c>
      <c r="C58" s="3" t="s">
        <v>144</v>
      </c>
      <c r="D58" s="3">
        <v>3</v>
      </c>
      <c r="E58" s="3" t="s">
        <v>429</v>
      </c>
      <c r="G58" s="3" t="s">
        <v>469</v>
      </c>
      <c r="I58" s="3" t="str">
        <f t="shared" si="0"/>
        <v xml:space="preserve">    ('CIS', '3433', 'System Integration and Architecture for IT', 3, 'Role of systems architecture in systems integration, performance, and effectiveness. Principles and concepts of "devops" (development operations) interplay between IT applications roll-out and related organizational processes.', 3000),</v>
      </c>
      <c r="K58" s="3" t="str">
        <f t="shared" si="1"/>
        <v xml:space="preserve">    @COURSE_CIS_3433  INT,</v>
      </c>
      <c r="M58" s="3" t="str">
        <f t="shared" si="2"/>
        <v>SELECT @COURSE_CIS_3433  = CourseID FROM Bellini.Course WHERE CoursePrefix = 'CIS' AND CourseNumber = '3433';</v>
      </c>
      <c r="O58" s="3" t="s">
        <v>949</v>
      </c>
    </row>
    <row r="59" spans="1:15" x14ac:dyDescent="0.3">
      <c r="A59" s="3" t="s">
        <v>134</v>
      </c>
      <c r="B59" s="3" t="s">
        <v>145</v>
      </c>
      <c r="C59" s="3" t="s">
        <v>146</v>
      </c>
      <c r="D59" s="3">
        <v>3</v>
      </c>
      <c r="E59" s="3" t="s">
        <v>404</v>
      </c>
      <c r="G59" s="3" t="s">
        <v>470</v>
      </c>
      <c r="I59" s="3" t="str">
        <f t="shared" si="0"/>
        <v xml:space="preserve">    ('CIS', '4083', 'Cloud Computing for IT', 3, 'This is a hand-on class in the methods and technologies of cloud computing. Upon completion of this course students will be able to create, configure, build, deploy, and manage a variety of cloud based solutions.', 4000),</v>
      </c>
      <c r="K59" s="3" t="str">
        <f t="shared" si="1"/>
        <v xml:space="preserve">    @COURSE_CIS_4083  INT,</v>
      </c>
      <c r="M59" s="3" t="str">
        <f t="shared" si="2"/>
        <v>SELECT @COURSE_CIS_4083  = CourseID FROM Bellini.Course WHERE CoursePrefix = 'CIS' AND CourseNumber = '4083';</v>
      </c>
      <c r="O59" s="3" t="s">
        <v>950</v>
      </c>
    </row>
    <row r="60" spans="1:15" x14ac:dyDescent="0.3">
      <c r="A60" s="3" t="s">
        <v>134</v>
      </c>
      <c r="B60" s="3" t="s">
        <v>147</v>
      </c>
      <c r="C60" s="3" t="s">
        <v>148</v>
      </c>
      <c r="D60" s="3">
        <v>3</v>
      </c>
      <c r="E60" s="3" t="s">
        <v>404</v>
      </c>
      <c r="G60" s="3" t="s">
        <v>471</v>
      </c>
      <c r="I60" s="3" t="str">
        <f t="shared" si="0"/>
        <v xml:space="preserve">    ('CIS', '4200', 'Penetration Testing for IT', 3, 'Penetration testing and related software tools are presented. Legalities and various cyber-attacks such distributed denial of service, man-in-the-middle, and password attacks are covered. Methods to correct security flaws are given.', 4000),</v>
      </c>
      <c r="K60" s="3" t="str">
        <f t="shared" si="1"/>
        <v xml:space="preserve">    @COURSE_CIS_4200  INT,</v>
      </c>
      <c r="M60" s="3" t="str">
        <f t="shared" si="2"/>
        <v>SELECT @COURSE_CIS_4200  = CourseID FROM Bellini.Course WHERE CoursePrefix = 'CIS' AND CourseNumber = '4200';</v>
      </c>
      <c r="O60" s="3" t="s">
        <v>951</v>
      </c>
    </row>
    <row r="61" spans="1:15" x14ac:dyDescent="0.3">
      <c r="A61" s="3" t="s">
        <v>134</v>
      </c>
      <c r="B61" s="3" t="s">
        <v>87</v>
      </c>
      <c r="C61" s="3" t="s">
        <v>149</v>
      </c>
      <c r="D61" s="3">
        <v>3</v>
      </c>
      <c r="E61" s="3" t="s">
        <v>473</v>
      </c>
      <c r="G61" s="3" t="s">
        <v>472</v>
      </c>
      <c r="I61" s="3" t="str">
        <f t="shared" si="0"/>
        <v xml:space="preserve">    ('CIS', '4203', 'Cyber Forensics and Investigations', 3, 'Teaches the methods of acquiring, preserving, retrieving, and presenting data that have been processed electronically and stored on computer media for use in legal proceedings. Focus on MS Windows systems.', 4000),</v>
      </c>
      <c r="K61" s="3" t="str">
        <f t="shared" si="1"/>
        <v xml:space="preserve">    @COURSE_CIS_4203  INT,</v>
      </c>
      <c r="M61" s="3" t="str">
        <f t="shared" si="2"/>
        <v>SELECT @COURSE_CIS_4203  = CourseID FROM Bellini.Course WHERE CoursePrefix = 'CIS' AND CourseNumber = '4203';</v>
      </c>
      <c r="O61" s="3" t="s">
        <v>952</v>
      </c>
    </row>
    <row r="62" spans="1:15" x14ac:dyDescent="0.3">
      <c r="A62" s="3" t="s">
        <v>134</v>
      </c>
      <c r="B62" s="3" t="s">
        <v>150</v>
      </c>
      <c r="C62" s="3" t="s">
        <v>151</v>
      </c>
      <c r="D62" s="3">
        <v>3</v>
      </c>
      <c r="F62" s="3" t="s">
        <v>398</v>
      </c>
      <c r="G62" s="3" t="s">
        <v>474</v>
      </c>
      <c r="I62" s="3" t="str">
        <f t="shared" si="0"/>
        <v xml:space="preserve">    ('CIS', '4212', 'Privacy-Preserving and Trustworthy Cyber-Infrastructures', 3, 'This course will explore emerging cyber-security technologies addressing security issues of cyberinfrastructures. It will cover privacy-enhancing and trustworthy techniques for cloud computing and internet of thing systems.', 4000),</v>
      </c>
      <c r="K62" s="3" t="str">
        <f t="shared" si="1"/>
        <v xml:space="preserve">    @COURSE_CIS_4212  INT,</v>
      </c>
      <c r="M62" s="3" t="str">
        <f t="shared" si="2"/>
        <v>SELECT @COURSE_CIS_4212  = CourseID FROM Bellini.Course WHERE CoursePrefix = 'CIS' AND CourseNumber = '4212';</v>
      </c>
      <c r="O62" s="3" t="s">
        <v>953</v>
      </c>
    </row>
    <row r="63" spans="1:15" x14ac:dyDescent="0.3">
      <c r="A63" s="3" t="s">
        <v>134</v>
      </c>
      <c r="B63" s="3" t="s">
        <v>152</v>
      </c>
      <c r="C63" s="3" t="s">
        <v>153</v>
      </c>
      <c r="D63" s="3">
        <v>3</v>
      </c>
      <c r="E63" s="3" t="s">
        <v>458</v>
      </c>
      <c r="G63" s="3" t="s">
        <v>475</v>
      </c>
      <c r="I63" s="3" t="str">
        <f t="shared" si="0"/>
        <v xml:space="preserve">    ('CIS', '4219', 'Human Aspects of Cybersecurity', 3, 'This course will study the human aspects of cybersecurity and cover such topics as: identity management, social engineering, societal behaviors, privacy and security, and individual awareness and understanding of cybersecurity.', 4000),</v>
      </c>
      <c r="K63" s="3" t="str">
        <f t="shared" si="1"/>
        <v xml:space="preserve">    @COURSE_CIS_4219  INT,</v>
      </c>
      <c r="M63" s="3" t="str">
        <f t="shared" si="2"/>
        <v>SELECT @COURSE_CIS_4219  = CourseID FROM Bellini.Course WHERE CoursePrefix = 'CIS' AND CourseNumber = '4219';</v>
      </c>
      <c r="O63" s="3" t="s">
        <v>954</v>
      </c>
    </row>
    <row r="64" spans="1:15" x14ac:dyDescent="0.3">
      <c r="A64" s="3" t="s">
        <v>134</v>
      </c>
      <c r="B64" s="3" t="s">
        <v>154</v>
      </c>
      <c r="C64" s="3" t="s">
        <v>155</v>
      </c>
      <c r="D64" s="3">
        <v>3</v>
      </c>
      <c r="G64" s="3" t="s">
        <v>476</v>
      </c>
      <c r="I64" s="3" t="str">
        <f t="shared" si="0"/>
        <v xml:space="preserve">    ('CIS', '4250', 'Ethical Issues and Professional Conduct', 3, 'This course introduces students to ethical issues and professional responsibilities arising in the computer sciences. Students will develop ethical solutions to real-world problems and present them.', 4000),</v>
      </c>
      <c r="K64" s="3" t="str">
        <f t="shared" si="1"/>
        <v xml:space="preserve">    @COURSE_CIS_4250  INT,</v>
      </c>
      <c r="M64" s="3" t="str">
        <f t="shared" si="2"/>
        <v>SELECT @COURSE_CIS_4250  = CourseID FROM Bellini.Course WHERE CoursePrefix = 'CIS' AND CourseNumber = '4250';</v>
      </c>
      <c r="O64" s="3" t="s">
        <v>955</v>
      </c>
    </row>
    <row r="65" spans="1:15" x14ac:dyDescent="0.3">
      <c r="A65" s="3" t="s">
        <v>134</v>
      </c>
      <c r="B65" s="3" t="s">
        <v>99</v>
      </c>
      <c r="C65" s="3" t="s">
        <v>156</v>
      </c>
      <c r="D65" s="3">
        <v>3</v>
      </c>
      <c r="G65" s="3" t="s">
        <v>477</v>
      </c>
      <c r="I65" s="3" t="str">
        <f t="shared" si="0"/>
        <v xml:space="preserve">    ('CIS', '4253', 'Ethics for Information Technology', 3, 'This course covers the professional code of ethics and a survey of ethical issues in computing such as intellectual property, security, privacy, and copyright. Class discussions cover ethical responsibilities of IT professionals and issues that are shaping our society.', 4000),</v>
      </c>
      <c r="K65" s="3" t="str">
        <f t="shared" si="1"/>
        <v xml:space="preserve">    @COURSE_CIS_4253  INT,</v>
      </c>
      <c r="M65" s="3" t="str">
        <f t="shared" si="2"/>
        <v>SELECT @COURSE_CIS_4253  = CourseID FROM Bellini.Course WHERE CoursePrefix = 'CIS' AND CourseNumber = '4253';</v>
      </c>
      <c r="O65" s="3" t="s">
        <v>956</v>
      </c>
    </row>
    <row r="66" spans="1:15" x14ac:dyDescent="0.3">
      <c r="A66" s="3" t="s">
        <v>134</v>
      </c>
      <c r="B66" s="3" t="s">
        <v>157</v>
      </c>
      <c r="C66" s="3" t="s">
        <v>158</v>
      </c>
      <c r="D66" s="3">
        <v>3</v>
      </c>
      <c r="E66" s="3" t="s">
        <v>401</v>
      </c>
      <c r="G66" s="3" t="s">
        <v>478</v>
      </c>
      <c r="I66" s="3" t="str">
        <f t="shared" si="0"/>
        <v xml:space="preserve">    ('CIS', '4345', 'Big Data Storage and Analysis with Hadoop', 3, 'This is an introductory course for big data storage and analysis in Hadoop cluster. Topics include Hadoop file system, Hadoop cluster architectures, Hadoop ecosystems, and big data processing frameworks MapReduce, Spark, Pig and Hive.', 4000),</v>
      </c>
      <c r="K66" s="3" t="str">
        <f t="shared" si="1"/>
        <v xml:space="preserve">    @COURSE_CIS_4345  INT,</v>
      </c>
      <c r="M66" s="3" t="str">
        <f t="shared" si="2"/>
        <v>SELECT @COURSE_CIS_4345  = CourseID FROM Bellini.Course WHERE CoursePrefix = 'CIS' AND CourseNumber = '4345';</v>
      </c>
      <c r="O66" s="3" t="s">
        <v>957</v>
      </c>
    </row>
    <row r="67" spans="1:15" x14ac:dyDescent="0.3">
      <c r="A67" s="3" t="s">
        <v>134</v>
      </c>
      <c r="B67" s="3" t="s">
        <v>159</v>
      </c>
      <c r="C67" s="3" t="s">
        <v>160</v>
      </c>
      <c r="D67" s="3">
        <v>3</v>
      </c>
      <c r="E67" s="3" t="s">
        <v>404</v>
      </c>
      <c r="G67" s="3" t="s">
        <v>479</v>
      </c>
      <c r="I67" s="3" t="str">
        <f t="shared" si="0"/>
        <v xml:space="preserve">    ('CIS', '4361', 'Information Assurance and Security Management for IT', 3, 'The CIANA model, information security management techniques, and security concerns are presented. Topics include access control systems, network security, security management practices, cryptography, disaster recovery planning, and others.', 4000),</v>
      </c>
      <c r="K67" s="3" t="str">
        <f t="shared" si="1"/>
        <v xml:space="preserve">    @COURSE_CIS_4361  INT,</v>
      </c>
      <c r="M67" s="3" t="str">
        <f t="shared" si="2"/>
        <v>SELECT @COURSE_CIS_4361  = CourseID FROM Bellini.Course WHERE CoursePrefix = 'CIS' AND CourseNumber = '4361';</v>
      </c>
      <c r="O67" s="3" t="s">
        <v>958</v>
      </c>
    </row>
    <row r="68" spans="1:15" x14ac:dyDescent="0.3">
      <c r="A68" s="3" t="s">
        <v>134</v>
      </c>
      <c r="B68" s="3" t="s">
        <v>161</v>
      </c>
      <c r="C68" s="3" t="s">
        <v>162</v>
      </c>
      <c r="D68" s="3">
        <v>3</v>
      </c>
      <c r="E68" s="3" t="s">
        <v>398</v>
      </c>
      <c r="F68" s="3" t="s">
        <v>481</v>
      </c>
      <c r="G68" s="3" t="s">
        <v>480</v>
      </c>
      <c r="I68" s="3" t="str">
        <f t="shared" ref="I68:K131" si="3">"    ('" &amp; A68 &amp; "', '" &amp; B68 &amp; "', '" &amp; C68 &amp; "', " &amp; D68 &amp; ", '" &amp; G68 &amp; "', " &amp; 1000 * ROUNDDOWN(MID(B68, 1, 4) / 1000, 0) &amp; "),"</f>
        <v xml:space="preserve">    ('CIS', '4364', 'Cryptology and Information Security', 3, 'Covers the fundamentals of computer security. The following topics are addressed: Network Security, Cryptography, Access Control, Security Architecture and Models, Applications and Systems Development, Vulnerability Assessment.', 4000),</v>
      </c>
      <c r="K68" s="3" t="str">
        <f t="shared" ref="K68:M131" si="4">"    @COURSE_" &amp; A68 &amp; "_" &amp; B68 &amp; IF(LEN(B68) = 4, " ", "") &amp; " INT,"</f>
        <v xml:space="preserve">    @COURSE_CIS_4364  INT,</v>
      </c>
      <c r="M68" s="3" t="str">
        <f t="shared" ref="M68:O131" si="5">"SELECT @COURSE_" &amp; A68 &amp; "_" &amp; B68 &amp; IF(LEN(B68) = 4, " ", "") &amp; " = CourseID FROM Bellini.Course WHERE CoursePrefix = '" &amp; A68 &amp; "' AND CourseNumber = '" &amp; B68 &amp; "';"</f>
        <v>SELECT @COURSE_CIS_4364  = CourseID FROM Bellini.Course WHERE CoursePrefix = 'CIS' AND CourseNumber = '4364';</v>
      </c>
      <c r="O68" s="3" t="s">
        <v>959</v>
      </c>
    </row>
    <row r="69" spans="1:15" x14ac:dyDescent="0.3">
      <c r="A69" s="3" t="s">
        <v>134</v>
      </c>
      <c r="B69" s="3" t="s">
        <v>163</v>
      </c>
      <c r="C69" s="3" t="s">
        <v>164</v>
      </c>
      <c r="D69" s="3">
        <v>3</v>
      </c>
      <c r="E69" s="3" t="s">
        <v>483</v>
      </c>
      <c r="G69" s="3" t="s">
        <v>482</v>
      </c>
      <c r="I69" s="3" t="str">
        <f t="shared" si="3"/>
        <v xml:space="preserve">    ('CIS', '4368', 'Database Security and Audits', 3, 'An in-depth look at database security concepts and auditing techniques. Hands-on approach when examining security techniques. Examines different security strategies and advancements in implementation as well as problem solving.', 4000),</v>
      </c>
      <c r="K69" s="3" t="str">
        <f t="shared" si="4"/>
        <v xml:space="preserve">    @COURSE_CIS_4368  INT,</v>
      </c>
      <c r="M69" s="3" t="str">
        <f t="shared" si="5"/>
        <v>SELECT @COURSE_CIS_4368  = CourseID FROM Bellini.Course WHERE CoursePrefix = 'CIS' AND CourseNumber = '4368';</v>
      </c>
      <c r="O69" s="3" t="s">
        <v>960</v>
      </c>
    </row>
    <row r="70" spans="1:15" x14ac:dyDescent="0.3">
      <c r="A70" s="3" t="s">
        <v>134</v>
      </c>
      <c r="B70" s="3" t="s">
        <v>165</v>
      </c>
      <c r="C70" s="3" t="s">
        <v>166</v>
      </c>
      <c r="D70" s="3">
        <v>3</v>
      </c>
      <c r="E70" s="3" t="s">
        <v>485</v>
      </c>
      <c r="G70" s="3" t="s">
        <v>484</v>
      </c>
      <c r="I70" s="3" t="str">
        <f t="shared" si="3"/>
        <v xml:space="preserve">    ('CIS', '4622', 'Hands-on Cybersecurity', 3, 'This course covers hands-on skills for cybersecurity -- how to perform common offense and defense activities on computer networks, penetration testing, software exploit basics, basic network forensics, and basics on incident response.', 4000),</v>
      </c>
      <c r="K70" s="3" t="str">
        <f t="shared" si="4"/>
        <v xml:space="preserve">    @COURSE_CIS_4622  INT,</v>
      </c>
      <c r="M70" s="3" t="str">
        <f t="shared" si="5"/>
        <v>SELECT @COURSE_CIS_4622  = CourseID FROM Bellini.Course WHERE CoursePrefix = 'CIS' AND CourseNumber = '4622';</v>
      </c>
      <c r="O70" s="3" t="s">
        <v>961</v>
      </c>
    </row>
    <row r="71" spans="1:15" x14ac:dyDescent="0.3">
      <c r="A71" s="3" t="s">
        <v>134</v>
      </c>
      <c r="B71" s="3" t="s">
        <v>167</v>
      </c>
      <c r="C71" s="3" t="s">
        <v>168</v>
      </c>
      <c r="D71" s="3">
        <v>3</v>
      </c>
      <c r="E71" s="3" t="s">
        <v>401</v>
      </c>
      <c r="G71" s="3" t="s">
        <v>486</v>
      </c>
      <c r="I71" s="3" t="str">
        <f t="shared" si="3"/>
        <v xml:space="preserve">    ('CIS', '4623', 'Practical Cybersecurity', 3, 'This course covers how to protect the security of realworld systems -- configuring host/network security settings, penetration testing, software exploit basics, and basics on incident response and forensics.', 4000),</v>
      </c>
      <c r="K71" s="3" t="str">
        <f t="shared" si="4"/>
        <v xml:space="preserve">    @COURSE_CIS_4623  INT,</v>
      </c>
      <c r="M71" s="3" t="str">
        <f t="shared" si="5"/>
        <v>SELECT @COURSE_CIS_4623  = CourseID FROM Bellini.Course WHERE CoursePrefix = 'CIS' AND CourseNumber = '4623';</v>
      </c>
      <c r="O71" s="3" t="s">
        <v>962</v>
      </c>
    </row>
    <row r="72" spans="1:15" x14ac:dyDescent="0.3">
      <c r="A72" s="3" t="s">
        <v>134</v>
      </c>
      <c r="B72" s="3" t="s">
        <v>169</v>
      </c>
      <c r="C72" s="3" t="s">
        <v>170</v>
      </c>
      <c r="D72" s="3" t="s">
        <v>171</v>
      </c>
      <c r="E72" s="3" t="s">
        <v>417</v>
      </c>
      <c r="G72" s="3" t="s">
        <v>487</v>
      </c>
      <c r="I72" s="3" t="str">
        <f t="shared" si="3"/>
        <v xml:space="preserve">    ('CIS', '4900', 'Independent Study in Computer Science', 1-5, 'Specialized independent study determined by the needs and interests of the student.', 4000),</v>
      </c>
      <c r="K72" s="3" t="str">
        <f t="shared" si="4"/>
        <v xml:space="preserve">    @COURSE_CIS_4900  INT,</v>
      </c>
      <c r="M72" s="3" t="str">
        <f t="shared" si="5"/>
        <v>SELECT @COURSE_CIS_4900  = CourseID FROM Bellini.Course WHERE CoursePrefix = 'CIS' AND CourseNumber = '4900';</v>
      </c>
      <c r="O72" s="3" t="s">
        <v>963</v>
      </c>
    </row>
    <row r="73" spans="1:15" x14ac:dyDescent="0.3">
      <c r="A73" s="3" t="s">
        <v>134</v>
      </c>
      <c r="B73" s="3" t="s">
        <v>172</v>
      </c>
      <c r="C73" s="3" t="s">
        <v>173</v>
      </c>
      <c r="D73" s="3">
        <v>3</v>
      </c>
      <c r="E73" s="3" t="s">
        <v>398</v>
      </c>
      <c r="G73" s="3" t="s">
        <v>488</v>
      </c>
      <c r="I73" s="3" t="str">
        <f t="shared" si="3"/>
        <v xml:space="preserve">    ('CIS', '4910', 'Computer Science and Engineering Project', 3, 'Offers a focused team-based design experience incorporating appropriate engineering standards and multiple realistic constraints. Projects are proposed by industry and/or other partners and are completed within a defined development process.', 4000),</v>
      </c>
      <c r="K73" s="3" t="str">
        <f t="shared" si="4"/>
        <v xml:space="preserve">    @COURSE_CIS_4910  INT,</v>
      </c>
      <c r="M73" s="3" t="str">
        <f t="shared" si="5"/>
        <v>SELECT @COURSE_CIS_4910  = CourseID FROM Bellini.Course WHERE CoursePrefix = 'CIS' AND CourseNumber = '4910';</v>
      </c>
      <c r="O73" s="3" t="s">
        <v>964</v>
      </c>
    </row>
    <row r="74" spans="1:15" x14ac:dyDescent="0.3">
      <c r="A74" s="3" t="s">
        <v>134</v>
      </c>
      <c r="B74" s="3" t="s">
        <v>174</v>
      </c>
      <c r="C74" s="3" t="s">
        <v>175</v>
      </c>
      <c r="D74" s="3" t="s">
        <v>171</v>
      </c>
      <c r="E74" s="3" t="s">
        <v>417</v>
      </c>
      <c r="G74" s="3" t="s">
        <v>489</v>
      </c>
      <c r="I74" s="3" t="str">
        <f t="shared" si="3"/>
        <v xml:space="preserve">    ('CIS', '4915', 'Supervised Research in Computer Science', 1-5, 'Supervised research determined by the needs and interests of the student.', 4000),</v>
      </c>
      <c r="K74" s="3" t="str">
        <f t="shared" si="4"/>
        <v xml:space="preserve">    @COURSE_CIS_4915  INT,</v>
      </c>
      <c r="M74" s="3" t="str">
        <f t="shared" si="5"/>
        <v>SELECT @COURSE_CIS_4915  = CourseID FROM Bellini.Course WHERE CoursePrefix = 'CIS' AND CourseNumber = '4915';</v>
      </c>
      <c r="O74" s="3" t="s">
        <v>965</v>
      </c>
    </row>
    <row r="75" spans="1:15" x14ac:dyDescent="0.3">
      <c r="A75" s="3" t="s">
        <v>134</v>
      </c>
      <c r="B75" s="3" t="s">
        <v>176</v>
      </c>
      <c r="C75" s="3" t="s">
        <v>177</v>
      </c>
      <c r="D75" s="3" t="s">
        <v>178</v>
      </c>
      <c r="E75" s="3" t="s">
        <v>417</v>
      </c>
      <c r="G75" s="3" t="s">
        <v>490</v>
      </c>
      <c r="I75" s="3" t="str">
        <f t="shared" si="3"/>
        <v xml:space="preserve">    ('CIS', '4930', 'Special Topics in Computer Science I', 1-3, 'Special topics in computer science and computer engineering.', 4000),</v>
      </c>
      <c r="K75" s="3" t="str">
        <f t="shared" si="4"/>
        <v xml:space="preserve">    @COURSE_CIS_4930  INT,</v>
      </c>
      <c r="M75" s="3" t="str">
        <f t="shared" si="5"/>
        <v>SELECT @COURSE_CIS_4930  = CourseID FROM Bellini.Course WHERE CoursePrefix = 'CIS' AND CourseNumber = '4930';</v>
      </c>
      <c r="O75" s="3" t="s">
        <v>966</v>
      </c>
    </row>
    <row r="76" spans="1:15" x14ac:dyDescent="0.3">
      <c r="A76" s="3" t="s">
        <v>134</v>
      </c>
      <c r="B76" s="3" t="s">
        <v>179</v>
      </c>
      <c r="C76" s="3" t="s">
        <v>180</v>
      </c>
      <c r="D76" s="3">
        <v>4</v>
      </c>
      <c r="G76" s="3" t="s">
        <v>491</v>
      </c>
      <c r="I76" s="3" t="str">
        <f t="shared" si="3"/>
        <v xml:space="preserve">    ('CIS', '4935', 'Senior Project in Information Technology', 4, 'This course is the capstone project for IT majors. Students are required to design, implement, and deliver a complete IT solution to a problem leveraging discipline-specific, critical thinking, and communication skills acquired in this major.', 4000),</v>
      </c>
      <c r="K76" s="3" t="str">
        <f t="shared" si="4"/>
        <v xml:space="preserve">    @COURSE_CIS_4935  INT,</v>
      </c>
      <c r="M76" s="3" t="str">
        <f t="shared" si="5"/>
        <v>SELECT @COURSE_CIS_4935  = CourseID FROM Bellini.Course WHERE CoursePrefix = 'CIS' AND CourseNumber = '4935';</v>
      </c>
      <c r="O76" s="3" t="s">
        <v>967</v>
      </c>
    </row>
    <row r="77" spans="1:15" x14ac:dyDescent="0.3">
      <c r="A77" s="3" t="s">
        <v>134</v>
      </c>
      <c r="B77" s="3" t="s">
        <v>181</v>
      </c>
      <c r="C77" s="3" t="s">
        <v>182</v>
      </c>
      <c r="D77" s="3" t="s">
        <v>183</v>
      </c>
      <c r="E77" s="3" t="s">
        <v>417</v>
      </c>
      <c r="G77" s="3" t="s">
        <v>492</v>
      </c>
      <c r="I77" s="3" t="str">
        <f t="shared" si="3"/>
        <v xml:space="preserve">    ('CIS', '4940', 'Industry Internship', 0-6, 'Individual study as practical computer science and/or computer engineering work under industrial supervision with a faculty approved outline and endof-semester report.', 4000),</v>
      </c>
      <c r="K77" s="3" t="str">
        <f t="shared" si="4"/>
        <v xml:space="preserve">    @COURSE_CIS_4940  INT,</v>
      </c>
      <c r="M77" s="3" t="str">
        <f t="shared" si="5"/>
        <v>SELECT @COURSE_CIS_4940  = CourseID FROM Bellini.Course WHERE CoursePrefix = 'CIS' AND CourseNumber = '4940';</v>
      </c>
      <c r="O77" s="3" t="s">
        <v>968</v>
      </c>
    </row>
    <row r="78" spans="1:15" x14ac:dyDescent="0.3">
      <c r="A78" s="3" t="s">
        <v>134</v>
      </c>
      <c r="B78" s="3" t="s">
        <v>184</v>
      </c>
      <c r="C78" s="3" t="s">
        <v>185</v>
      </c>
      <c r="D78" s="3" t="s">
        <v>171</v>
      </c>
      <c r="G78" s="3" t="s">
        <v>493</v>
      </c>
      <c r="I78" s="3" t="str">
        <f t="shared" si="3"/>
        <v xml:space="preserve">    ('CIS', '4947', 'Industry Internship for IT', 1-5, 'Practical information technology work under industrial supervision with a faculty-approved outline and endof-semester report.', 4000),</v>
      </c>
      <c r="K78" s="3" t="str">
        <f t="shared" si="4"/>
        <v xml:space="preserve">    @COURSE_CIS_4947  INT,</v>
      </c>
      <c r="M78" s="3" t="str">
        <f t="shared" si="5"/>
        <v>SELECT @COURSE_CIS_4947  = CourseID FROM Bellini.Course WHERE CoursePrefix = 'CIS' AND CourseNumber = '4947';</v>
      </c>
      <c r="O78" s="3" t="s">
        <v>969</v>
      </c>
    </row>
    <row r="79" spans="1:15" x14ac:dyDescent="0.3">
      <c r="A79" s="3" t="s">
        <v>186</v>
      </c>
      <c r="B79" s="3" t="s">
        <v>187</v>
      </c>
      <c r="C79" s="3" t="s">
        <v>188</v>
      </c>
      <c r="D79" s="3">
        <v>3</v>
      </c>
      <c r="E79" s="3" t="s">
        <v>397</v>
      </c>
      <c r="F79" s="3" t="s">
        <v>398</v>
      </c>
      <c r="G79" s="3" t="s">
        <v>494</v>
      </c>
      <c r="I79" s="3" t="str">
        <f t="shared" si="3"/>
        <v xml:space="preserve">    ('CNT', '4004', 'Computer Networks I', 3, 'An introduction to the design and analysis of computer communication networks. Topics include application layer protocols, Internet protocols, network interfaces, local and wide area networks, wireless networks, bridging and routing, and current topics.', 4000),</v>
      </c>
      <c r="K79" s="3" t="str">
        <f t="shared" si="4"/>
        <v xml:space="preserve">    @COURSE_CNT_4004  INT,</v>
      </c>
      <c r="M79" s="3" t="str">
        <f t="shared" si="5"/>
        <v>SELECT @COURSE_CNT_4004  = CourseID FROM Bellini.Course WHERE CoursePrefix = 'CNT' AND CourseNumber = '4004';</v>
      </c>
      <c r="O79" s="3" t="s">
        <v>970</v>
      </c>
    </row>
    <row r="80" spans="1:15" x14ac:dyDescent="0.3">
      <c r="A80" s="3" t="s">
        <v>186</v>
      </c>
      <c r="B80" s="3" t="s">
        <v>189</v>
      </c>
      <c r="C80" s="3" t="s">
        <v>190</v>
      </c>
      <c r="D80" s="3">
        <v>3</v>
      </c>
      <c r="E80" s="3" t="s">
        <v>404</v>
      </c>
      <c r="F80" s="3" t="s">
        <v>496</v>
      </c>
      <c r="G80" s="3" t="s">
        <v>495</v>
      </c>
      <c r="I80" s="3" t="str">
        <f t="shared" si="3"/>
        <v xml:space="preserve">    ('CNT', '4104', 'Computer Information Networks for Information Technology', 3, 'Presents the design and analysis of computer networks. The emphasis is on application- and Internet-layer protocols. Network interfaces, Internet protocols, wireless networks, routing, and security issues are introduced.', 4000),</v>
      </c>
      <c r="K80" s="3" t="str">
        <f t="shared" si="4"/>
        <v xml:space="preserve">    @COURSE_CNT_4104  INT,</v>
      </c>
      <c r="M80" s="3" t="str">
        <f t="shared" si="5"/>
        <v>SELECT @COURSE_CNT_4104  = CourseID FROM Bellini.Course WHERE CoursePrefix = 'CNT' AND CourseNumber = '4104';</v>
      </c>
      <c r="O80" s="3" t="s">
        <v>971</v>
      </c>
    </row>
    <row r="81" spans="1:15" x14ac:dyDescent="0.3">
      <c r="A81" s="3" t="s">
        <v>186</v>
      </c>
      <c r="B81" s="3" t="s">
        <v>191</v>
      </c>
      <c r="C81" s="3" t="s">
        <v>192</v>
      </c>
      <c r="D81" s="3">
        <v>1</v>
      </c>
      <c r="E81" s="3" t="s">
        <v>404</v>
      </c>
      <c r="F81" s="3" t="s">
        <v>498</v>
      </c>
      <c r="G81" s="3" t="s">
        <v>497</v>
      </c>
      <c r="I81" s="3" t="str">
        <f t="shared" si="3"/>
        <v xml:space="preserve">    ('CNT', '4104L', 'Computer Information Networks Laboratory for Information Technology ', 1, 'This lab provides a hands-on introduction to computer networking and the protocols used to coordinate and control communications on them.', 4000),</v>
      </c>
      <c r="K81" s="3" t="str">
        <f t="shared" si="4"/>
        <v xml:space="preserve">    @COURSE_CNT_4104L INT,</v>
      </c>
      <c r="M81" s="3" t="str">
        <f t="shared" si="5"/>
        <v>SELECT @COURSE_CNT_4104L = CourseID FROM Bellini.Course WHERE CoursePrefix = 'CNT' AND CourseNumber = '4104L';</v>
      </c>
      <c r="O81" s="3" t="s">
        <v>896</v>
      </c>
    </row>
    <row r="82" spans="1:15" x14ac:dyDescent="0.3">
      <c r="A82" s="3" t="s">
        <v>186</v>
      </c>
      <c r="B82" s="3" t="s">
        <v>193</v>
      </c>
      <c r="C82" s="3" t="s">
        <v>194</v>
      </c>
      <c r="D82" s="3">
        <v>3</v>
      </c>
      <c r="E82" s="3" t="s">
        <v>498</v>
      </c>
      <c r="G82" s="3" t="s">
        <v>501</v>
      </c>
      <c r="I82" s="3" t="str">
        <f t="shared" si="3"/>
        <v xml:space="preserve">    ('CNT', '4403', 'Network Security and Firewalls', 3, 'This course surveys network security standards and emphasizes applications that are widely used on the Internet and for corporate networks. This course also examines Firewalls and related tools used to provide both network and perimeter security.', 4000),</v>
      </c>
      <c r="K82" s="3" t="str">
        <f t="shared" si="4"/>
        <v xml:space="preserve">    @COURSE_CNT_4403  INT,</v>
      </c>
      <c r="M82" s="3" t="str">
        <f t="shared" si="5"/>
        <v>SELECT @COURSE_CNT_4403  = CourseID FROM Bellini.Course WHERE CoursePrefix = 'CNT' AND CourseNumber = '4403';</v>
      </c>
      <c r="O82" s="3" t="s">
        <v>972</v>
      </c>
    </row>
    <row r="83" spans="1:15" x14ac:dyDescent="0.3">
      <c r="A83" s="3" t="s">
        <v>186</v>
      </c>
      <c r="B83" s="3" t="s">
        <v>195</v>
      </c>
      <c r="C83" s="3" t="s">
        <v>196</v>
      </c>
      <c r="D83" s="3">
        <v>3</v>
      </c>
      <c r="E83" s="3" t="s">
        <v>503</v>
      </c>
      <c r="F83" s="3" t="s">
        <v>398</v>
      </c>
      <c r="G83" s="3" t="s">
        <v>502</v>
      </c>
      <c r="I83" s="3" t="str">
        <f t="shared" si="3"/>
        <v xml:space="preserve">    ('CNT', '4411', 'Computing and Network Security', 3, 'The course is a study of fundamental concepts and principles of computing and network security. The course covers basic security topics, including symmetric and public key cryptography, digital signatures, hash functions,and network security protocols.', 4000),</v>
      </c>
      <c r="K83" s="3" t="str">
        <f t="shared" si="4"/>
        <v xml:space="preserve">    @COURSE_CNT_4411  INT,</v>
      </c>
      <c r="M83" s="3" t="str">
        <f t="shared" si="5"/>
        <v>SELECT @COURSE_CNT_4411  = CourseID FROM Bellini.Course WHERE CoursePrefix = 'CNT' AND CourseNumber = '4411';</v>
      </c>
      <c r="O83" s="3" t="s">
        <v>973</v>
      </c>
    </row>
    <row r="84" spans="1:15" x14ac:dyDescent="0.3">
      <c r="A84" s="3" t="s">
        <v>186</v>
      </c>
      <c r="B84" s="3" t="s">
        <v>197</v>
      </c>
      <c r="C84" s="3" t="s">
        <v>198</v>
      </c>
      <c r="D84" s="3">
        <v>3</v>
      </c>
      <c r="E84" s="3" t="s">
        <v>398</v>
      </c>
      <c r="G84" s="3" t="s">
        <v>504</v>
      </c>
      <c r="I84" s="3" t="str">
        <f t="shared" si="3"/>
        <v xml:space="preserve">    ('CNT', '4419', 'Secure Coding', 3, 'Principles and practices for secure computing and writing secure software, including software for performing information management and networking and communications.', 4000),</v>
      </c>
      <c r="K84" s="3" t="str">
        <f t="shared" si="4"/>
        <v xml:space="preserve">    @COURSE_CNT_4419  INT,</v>
      </c>
      <c r="M84" s="3" t="str">
        <f t="shared" si="5"/>
        <v>SELECT @COURSE_CNT_4419  = CourseID FROM Bellini.Course WHERE CoursePrefix = 'CNT' AND CourseNumber = '4419';</v>
      </c>
      <c r="O84" s="3" t="s">
        <v>974</v>
      </c>
    </row>
    <row r="85" spans="1:15" x14ac:dyDescent="0.3">
      <c r="A85" s="3" t="s">
        <v>186</v>
      </c>
      <c r="B85" s="3" t="s">
        <v>199</v>
      </c>
      <c r="C85" s="3" t="s">
        <v>200</v>
      </c>
      <c r="D85" s="3">
        <v>3</v>
      </c>
      <c r="E85" s="3" t="s">
        <v>498</v>
      </c>
      <c r="G85" s="3" t="s">
        <v>505</v>
      </c>
      <c r="I85" s="3" t="str">
        <f t="shared" si="3"/>
        <v xml:space="preserve">    ('CNT', '4603', 'System Administration and Maintenance for Information Technology', 3, 'Examines the activities related to the selection, installation and management of computer systems. Covers concepts essential to the administration of OS, networks, and services. Covers system documentation, policies and procedures.', 4000),</v>
      </c>
      <c r="K85" s="3" t="str">
        <f t="shared" si="4"/>
        <v xml:space="preserve">    @COURSE_CNT_4603  INT,</v>
      </c>
      <c r="M85" s="3" t="str">
        <f t="shared" si="5"/>
        <v>SELECT @COURSE_CNT_4603  = CourseID FROM Bellini.Course WHERE CoursePrefix = 'CNT' AND CourseNumber = '4603';</v>
      </c>
      <c r="O85" s="3" t="s">
        <v>975</v>
      </c>
    </row>
    <row r="86" spans="1:15" x14ac:dyDescent="0.3">
      <c r="A86" s="3" t="s">
        <v>186</v>
      </c>
      <c r="B86" s="3" t="s">
        <v>201</v>
      </c>
      <c r="C86" s="3" t="s">
        <v>202</v>
      </c>
      <c r="D86" s="3">
        <v>3</v>
      </c>
      <c r="E86" s="3" t="s">
        <v>498</v>
      </c>
      <c r="G86" s="3" t="s">
        <v>506</v>
      </c>
      <c r="I86" s="3" t="str">
        <f t="shared" si="3"/>
        <v xml:space="preserve">    ('CNT', '4716C', 'Network Programming for IT ', 3, 'This course presents the fundamentals of network programming in C# .NET. In this course, the student will learn how to use the Visual Studio development environment to create Windows client and server applications. Topics include network object oriented programming, the study of network protocols, client/server applications, peer-to-peer applications, ASP.NET, Web Services, cloud computing and an introduction to Windows 8 Phone development.', 4000),</v>
      </c>
      <c r="K86" s="3" t="str">
        <f t="shared" si="4"/>
        <v xml:space="preserve">    @COURSE_CNT_4716C INT,</v>
      </c>
      <c r="M86" s="3" t="str">
        <f t="shared" si="5"/>
        <v>SELECT @COURSE_CNT_4716C = CourseID FROM Bellini.Course WHERE CoursePrefix = 'CNT' AND CourseNumber = '4716C';</v>
      </c>
      <c r="O86" s="3" t="s">
        <v>897</v>
      </c>
    </row>
    <row r="87" spans="1:15" x14ac:dyDescent="0.3">
      <c r="A87" s="3" t="s">
        <v>186</v>
      </c>
      <c r="B87" s="3" t="s">
        <v>203</v>
      </c>
      <c r="C87" s="3" t="s">
        <v>204</v>
      </c>
      <c r="D87" s="3">
        <v>3</v>
      </c>
      <c r="E87" s="3" t="s">
        <v>398</v>
      </c>
      <c r="G87" s="3" t="s">
        <v>507</v>
      </c>
      <c r="I87" s="3" t="str">
        <f t="shared" si="3"/>
        <v xml:space="preserve">    ('CNT', '4800', 'Network Science', 3, 'This course introduces the science of networks via elements of graph theory and practical analysis of real-life datasets.', 4000),</v>
      </c>
      <c r="K87" s="3" t="str">
        <f t="shared" si="4"/>
        <v xml:space="preserve">    @COURSE_CNT_4800  INT,</v>
      </c>
      <c r="M87" s="3" t="str">
        <f t="shared" si="5"/>
        <v>SELECT @COURSE_CNT_4800  = CourseID FROM Bellini.Course WHERE CoursePrefix = 'CNT' AND CourseNumber = '4800';</v>
      </c>
      <c r="O87" s="3" t="s">
        <v>976</v>
      </c>
    </row>
    <row r="88" spans="1:15" x14ac:dyDescent="0.3">
      <c r="A88" s="3" t="s">
        <v>205</v>
      </c>
      <c r="B88" s="3">
        <v>2030</v>
      </c>
      <c r="C88" s="3" t="s">
        <v>508</v>
      </c>
      <c r="D88" s="3">
        <v>3</v>
      </c>
      <c r="G88" s="3" t="s">
        <v>509</v>
      </c>
      <c r="I88" s="3" t="str">
        <f t="shared" si="3"/>
        <v xml:space="preserve">    ('COP', '2030', 'Programming Concepts I', 3, 'This course covers basic programming concepts using the Python language for implementation and developing problem solving skills.', 2000),</v>
      </c>
      <c r="K88" s="3" t="str">
        <f t="shared" si="4"/>
        <v xml:space="preserve">    @COURSE_COP_2030  INT,</v>
      </c>
      <c r="M88" s="3" t="str">
        <f t="shared" si="5"/>
        <v>SELECT @COURSE_COP_2030  = CourseID FROM Bellini.Course WHERE CoursePrefix = 'COP' AND CourseNumber = '2030';</v>
      </c>
      <c r="O88" s="3" t="s">
        <v>977</v>
      </c>
    </row>
    <row r="89" spans="1:15" x14ac:dyDescent="0.3">
      <c r="A89" s="3" t="s">
        <v>205</v>
      </c>
      <c r="B89" s="3" t="s">
        <v>206</v>
      </c>
      <c r="C89" s="3" t="s">
        <v>207</v>
      </c>
      <c r="D89" s="3">
        <v>3</v>
      </c>
      <c r="E89" s="3" t="s">
        <v>511</v>
      </c>
      <c r="G89" s="3" t="s">
        <v>510</v>
      </c>
      <c r="I89" s="3" t="str">
        <f t="shared" si="3"/>
        <v xml:space="preserve">    ('COP', '2510', 'Programming Concepts', 3, 'An examination of a modern programming language emphasizing programming concepts and design methodology.', 2000),</v>
      </c>
      <c r="K89" s="3" t="str">
        <f t="shared" si="4"/>
        <v xml:space="preserve">    @COURSE_COP_2510  INT,</v>
      </c>
      <c r="M89" s="3" t="str">
        <f t="shared" si="5"/>
        <v>SELECT @COURSE_COP_2510  = CourseID FROM Bellini.Course WHERE CoursePrefix = 'COP' AND CourseNumber = '2510';</v>
      </c>
      <c r="O89" s="3" t="s">
        <v>978</v>
      </c>
    </row>
    <row r="90" spans="1:15" x14ac:dyDescent="0.3">
      <c r="A90" s="3" t="s">
        <v>205</v>
      </c>
      <c r="B90" s="3" t="s">
        <v>208</v>
      </c>
      <c r="C90" s="3" t="s">
        <v>209</v>
      </c>
      <c r="D90" s="3">
        <v>3</v>
      </c>
      <c r="G90" s="3" t="s">
        <v>512</v>
      </c>
      <c r="I90" s="3" t="str">
        <f t="shared" si="3"/>
        <v xml:space="preserve">    ('COP', '2512', 'Programming Fundamentals for Information Technology', 3, 'An introduction to computer programming using a modern high-level language with IT applications. Topics include variables, types, expressions, and assignment, control structures, I/O, functions, and structured decomposition.', 2000),</v>
      </c>
      <c r="K90" s="3" t="str">
        <f t="shared" si="4"/>
        <v xml:space="preserve">    @COURSE_COP_2512  INT,</v>
      </c>
      <c r="M90" s="3" t="str">
        <f t="shared" si="5"/>
        <v>SELECT @COURSE_COP_2512  = CourseID FROM Bellini.Course WHERE CoursePrefix = 'COP' AND CourseNumber = '2512';</v>
      </c>
      <c r="O90" s="3" t="s">
        <v>979</v>
      </c>
    </row>
    <row r="91" spans="1:15" x14ac:dyDescent="0.3">
      <c r="A91" s="3" t="s">
        <v>205</v>
      </c>
      <c r="B91" s="3" t="s">
        <v>210</v>
      </c>
      <c r="C91" s="3" t="s">
        <v>211</v>
      </c>
      <c r="D91" s="3">
        <v>3</v>
      </c>
      <c r="E91" s="3" t="s">
        <v>463</v>
      </c>
      <c r="G91" s="3" t="s">
        <v>513</v>
      </c>
      <c r="I91" s="3" t="str">
        <f t="shared" si="3"/>
        <v xml:space="preserve">    ('COP', '2513', 'Object Oriented Programming for Information Technology', 3, 'An introduction to object oriented programming emphasizing an objects first approach with applications to IT. Objects, methods, and classes are studied in detail. Students design and implement object-oriented programs to solve IT problems.', 2000),</v>
      </c>
      <c r="K91" s="3" t="str">
        <f t="shared" si="4"/>
        <v xml:space="preserve">    @COURSE_COP_2513  INT,</v>
      </c>
      <c r="M91" s="3" t="str">
        <f t="shared" si="5"/>
        <v>SELECT @COURSE_COP_2513  = CourseID FROM Bellini.Course WHERE CoursePrefix = 'COP' AND CourseNumber = '2513';</v>
      </c>
      <c r="O91" s="3" t="s">
        <v>980</v>
      </c>
    </row>
    <row r="92" spans="1:15" x14ac:dyDescent="0.3">
      <c r="A92" s="3" t="s">
        <v>205</v>
      </c>
      <c r="B92" s="3">
        <v>2700</v>
      </c>
      <c r="C92" s="3" t="s">
        <v>524</v>
      </c>
      <c r="D92" s="3">
        <v>3</v>
      </c>
      <c r="E92" s="3" t="s">
        <v>499</v>
      </c>
      <c r="G92" s="3" t="s">
        <v>525</v>
      </c>
      <c r="I92" s="3" t="str">
        <f t="shared" si="3"/>
        <v xml:space="preserve">    ('COP', '2700', 'Database Systems Basics', 3, 'Database systems are described with particular emphasis on Relational Database Management Systems (RDBMS). SQLite is the target RDBMS. It is programmatically driven with the Python language and OpenOffice base.', 2000),</v>
      </c>
      <c r="K92" s="3" t="str">
        <f t="shared" si="4"/>
        <v xml:space="preserve">    @COURSE_COP_2700  INT,</v>
      </c>
      <c r="M92" s="3" t="str">
        <f t="shared" si="5"/>
        <v>SELECT @COURSE_COP_2700  = CourseID FROM Bellini.Course WHERE CoursePrefix = 'COP' AND CourseNumber = '2700';</v>
      </c>
      <c r="O92" s="3" t="s">
        <v>981</v>
      </c>
    </row>
    <row r="93" spans="1:15" x14ac:dyDescent="0.3">
      <c r="A93" s="3" t="s">
        <v>205</v>
      </c>
      <c r="B93" s="3">
        <v>3331</v>
      </c>
      <c r="C93" s="3" t="s">
        <v>515</v>
      </c>
      <c r="D93" s="3">
        <v>3</v>
      </c>
      <c r="E93" s="3" t="s">
        <v>397</v>
      </c>
      <c r="F93" s="3" t="s">
        <v>516</v>
      </c>
      <c r="G93" s="3" t="s">
        <v>514</v>
      </c>
      <c r="I93" s="3" t="str">
        <f t="shared" si="3"/>
        <v xml:space="preserve">    ('COP', '3331', 'Object Oriented Software Design', 3, 'Design of a computer program using an ObjectOriented programming language. Extension of programming knowledge from a procedural language to an object-oriented language. Analysis of program requirements.', 3000),</v>
      </c>
      <c r="K93" s="3" t="str">
        <f t="shared" si="4"/>
        <v xml:space="preserve">    @COURSE_COP_3331  INT,</v>
      </c>
      <c r="M93" s="3" t="str">
        <f t="shared" si="5"/>
        <v>SELECT @COURSE_COP_3331  = CourseID FROM Bellini.Course WHERE CoursePrefix = 'COP' AND CourseNumber = '3331';</v>
      </c>
      <c r="O93" s="3" t="s">
        <v>982</v>
      </c>
    </row>
    <row r="94" spans="1:15" x14ac:dyDescent="0.3">
      <c r="A94" s="3" t="s">
        <v>205</v>
      </c>
      <c r="B94" s="3" t="s">
        <v>212</v>
      </c>
      <c r="C94" s="3" t="s">
        <v>213</v>
      </c>
      <c r="D94" s="3">
        <v>3</v>
      </c>
      <c r="E94" s="3" t="s">
        <v>463</v>
      </c>
      <c r="G94" s="3" t="s">
        <v>517</v>
      </c>
      <c r="I94" s="3" t="str">
        <f t="shared" si="3"/>
        <v xml:space="preserve">    ('COP', '3353', 'User-Level Introduction to Linux for IT', 3, 'Description Introduction to a modern Linux distribution; installation in a desktop-friendly virtualized environment, users and software packages management, usage of the shell for navigation, and text processing command line tools.', 3000),</v>
      </c>
      <c r="K94" s="3" t="str">
        <f t="shared" si="4"/>
        <v xml:space="preserve">    @COURSE_COP_3353  INT,</v>
      </c>
      <c r="M94" s="3" t="str">
        <f t="shared" si="5"/>
        <v>SELECT @COURSE_COP_3353  = CourseID FROM Bellini.Course WHERE CoursePrefix = 'COP' AND CourseNumber = '3353';</v>
      </c>
      <c r="O94" s="3" t="s">
        <v>983</v>
      </c>
    </row>
    <row r="95" spans="1:15" x14ac:dyDescent="0.3">
      <c r="A95" s="3" t="s">
        <v>205</v>
      </c>
      <c r="B95" s="3" t="s">
        <v>214</v>
      </c>
      <c r="C95" s="3" t="s">
        <v>215</v>
      </c>
      <c r="D95" s="3">
        <v>3</v>
      </c>
      <c r="E95" s="3" t="s">
        <v>419</v>
      </c>
      <c r="G95" s="3" t="s">
        <v>518</v>
      </c>
      <c r="I95" s="3" t="str">
        <f t="shared" si="3"/>
        <v xml:space="preserve">    ('COP', '3514', 'Program Design', 3, 'The class extends students' programming knowledge by systematically considering the concepts involved in program design and creation. Students will also build upon their previous programming experience by learning to use the C programming language in a networked environment.', 3000),</v>
      </c>
      <c r="K95" s="3" t="str">
        <f t="shared" si="4"/>
        <v xml:space="preserve">    @COURSE_COP_3514  INT,</v>
      </c>
      <c r="M95" s="3" t="str">
        <f t="shared" si="5"/>
        <v>SELECT @COURSE_COP_3514  = CourseID FROM Bellini.Course WHERE CoursePrefix = 'COP' AND CourseNumber = '3514';</v>
      </c>
      <c r="O95" s="3" t="s">
        <v>984</v>
      </c>
    </row>
    <row r="96" spans="1:15" x14ac:dyDescent="0.3">
      <c r="A96" s="3" t="s">
        <v>205</v>
      </c>
      <c r="B96" s="3" t="s">
        <v>216</v>
      </c>
      <c r="C96" s="3" t="s">
        <v>217</v>
      </c>
      <c r="D96" s="3">
        <v>3</v>
      </c>
      <c r="E96" s="3" t="s">
        <v>520</v>
      </c>
      <c r="G96" s="3" t="s">
        <v>519</v>
      </c>
      <c r="I96" s="3" t="str">
        <f t="shared" si="3"/>
        <v xml:space="preserve">    ('COP', '3515', 'Advanced Program Design for Information Technology', 3, 'Covers problem solving with an emphasis on the creation of programs to be developed and maintained in a variety of environments from small to large IT organizations. Concepts relating to program efficiency are studied.', 3000),</v>
      </c>
      <c r="K96" s="3" t="str">
        <f t="shared" si="4"/>
        <v xml:space="preserve">    @COURSE_COP_3515  INT,</v>
      </c>
      <c r="M96" s="3" t="str">
        <f t="shared" si="5"/>
        <v>SELECT @COURSE_COP_3515  = CourseID FROM Bellini.Course WHERE CoursePrefix = 'COP' AND CourseNumber = '3515';</v>
      </c>
      <c r="O96" s="3" t="s">
        <v>985</v>
      </c>
    </row>
    <row r="97" spans="1:15" x14ac:dyDescent="0.3">
      <c r="A97" s="3" t="s">
        <v>205</v>
      </c>
      <c r="B97" s="3">
        <v>3718</v>
      </c>
      <c r="C97" s="3" t="s">
        <v>521</v>
      </c>
      <c r="D97" s="3">
        <v>3</v>
      </c>
      <c r="E97" s="3" t="s">
        <v>523</v>
      </c>
      <c r="G97" s="3" t="s">
        <v>522</v>
      </c>
      <c r="I97" s="3" t="str">
        <f t="shared" si="3"/>
        <v xml:space="preserve">    ('COP', '3718', 'Database Systems Design', 3, 'This course provides an in-depth treatment of working with Relational Database Management System (DBMS), with particular reference to MySQL. It also shows how to interface with MySQL using both PHP and Java languages.', 3000),</v>
      </c>
      <c r="K97" s="3" t="str">
        <f t="shared" si="4"/>
        <v xml:space="preserve">    @COURSE_COP_3718  INT,</v>
      </c>
      <c r="M97" s="3" t="str">
        <f t="shared" si="5"/>
        <v>SELECT @COURSE_COP_3718  = CourseID FROM Bellini.Course WHERE CoursePrefix = 'COP' AND CourseNumber = '3718';</v>
      </c>
      <c r="O97" s="3" t="s">
        <v>986</v>
      </c>
    </row>
    <row r="98" spans="1:15" x14ac:dyDescent="0.3">
      <c r="A98" s="3" t="s">
        <v>205</v>
      </c>
      <c r="B98" s="3" t="s">
        <v>111</v>
      </c>
      <c r="C98" s="3" t="s">
        <v>218</v>
      </c>
      <c r="D98" s="3">
        <v>3</v>
      </c>
      <c r="E98" s="3" t="s">
        <v>398</v>
      </c>
      <c r="G98" s="3" t="s">
        <v>526</v>
      </c>
      <c r="I98" s="3" t="str">
        <f t="shared" si="3"/>
        <v xml:space="preserve">    ('COP', '4020', 'Programming Languages', 3, 'An introduction to the specification, design, and analysis of programming languages. Topics include syntax, operational semantics, type systems, type safety, lambda calculus, functional programming, polymorphism, side effects, and objects.', 4000),</v>
      </c>
      <c r="K98" s="3" t="str">
        <f t="shared" si="4"/>
        <v xml:space="preserve">    @COURSE_COP_4020  INT,</v>
      </c>
      <c r="M98" s="3" t="str">
        <f t="shared" si="5"/>
        <v>SELECT @COURSE_COP_4020  = CourseID FROM Bellini.Course WHERE CoursePrefix = 'COP' AND CourseNumber = '4020';</v>
      </c>
      <c r="O98" s="3" t="s">
        <v>987</v>
      </c>
    </row>
    <row r="99" spans="1:15" x14ac:dyDescent="0.3">
      <c r="A99" s="3" t="s">
        <v>205</v>
      </c>
      <c r="B99" s="3" t="s">
        <v>219</v>
      </c>
      <c r="C99" s="3" t="s">
        <v>220</v>
      </c>
      <c r="D99" s="3">
        <v>3</v>
      </c>
      <c r="E99" s="3" t="s">
        <v>398</v>
      </c>
      <c r="G99" s="3" t="s">
        <v>527</v>
      </c>
      <c r="I99" s="3" t="str">
        <f t="shared" si="3"/>
        <v xml:space="preserve">    ('COP', '4365', 'Software System Development', 3, 'Analysis, design, and development of software systems using objective methodology with object oriented programming and advanced software development tools (such as integrated development environments).', 4000),</v>
      </c>
      <c r="K99" s="3" t="str">
        <f t="shared" si="4"/>
        <v xml:space="preserve">    @COURSE_COP_4365  INT,</v>
      </c>
      <c r="M99" s="3" t="str">
        <f t="shared" si="5"/>
        <v>SELECT @COURSE_COP_4365  = CourseID FROM Bellini.Course WHERE CoursePrefix = 'COP' AND CourseNumber = '4365';</v>
      </c>
      <c r="O99" s="3" t="s">
        <v>988</v>
      </c>
    </row>
    <row r="100" spans="1:15" x14ac:dyDescent="0.3">
      <c r="A100" s="3" t="s">
        <v>205</v>
      </c>
      <c r="B100" s="3" t="s">
        <v>163</v>
      </c>
      <c r="C100" s="3" t="s">
        <v>221</v>
      </c>
      <c r="D100" s="3">
        <v>3</v>
      </c>
      <c r="E100" s="3" t="s">
        <v>485</v>
      </c>
      <c r="G100" s="3" t="s">
        <v>528</v>
      </c>
      <c r="I100" s="3" t="str">
        <f t="shared" si="3"/>
        <v xml:space="preserve">    ('COP', '4368', 'Adv Object-Oriented Programming for IT', 3, 'Advanced object-oriented programming techniques and applications. Topics include GUI design, visual objects, event handling, data validation, interfaces, database connection, etc.', 4000),</v>
      </c>
      <c r="K100" s="3" t="str">
        <f t="shared" si="4"/>
        <v xml:space="preserve">    @COURSE_COP_4368  INT,</v>
      </c>
      <c r="M100" s="3" t="str">
        <f t="shared" si="5"/>
        <v>SELECT @COURSE_COP_4368  = CourseID FROM Bellini.Course WHERE CoursePrefix = 'COP' AND CourseNumber = '4368';</v>
      </c>
      <c r="O100" s="3" t="s">
        <v>989</v>
      </c>
    </row>
    <row r="101" spans="1:15" x14ac:dyDescent="0.3">
      <c r="A101" s="3" t="s">
        <v>205</v>
      </c>
      <c r="B101" s="3" t="s">
        <v>222</v>
      </c>
      <c r="C101" s="3" t="s">
        <v>223</v>
      </c>
      <c r="D101" s="3">
        <v>3</v>
      </c>
      <c r="E101" s="3" t="s">
        <v>398</v>
      </c>
      <c r="G101" s="3" t="s">
        <v>529</v>
      </c>
      <c r="I101" s="3" t="str">
        <f t="shared" si="3"/>
        <v xml:space="preserve">    ('COP', '4520', 'Computing in Massively Parallel Systems', 3, 'This course will cover basics in large-scale parallel computing and CUDA programming, and advanced techniques for parallel code optimization and domain-specific case studies.', 4000),</v>
      </c>
      <c r="K101" s="3" t="str">
        <f t="shared" si="4"/>
        <v xml:space="preserve">    @COURSE_COP_4520  INT,</v>
      </c>
      <c r="M101" s="3" t="str">
        <f t="shared" si="5"/>
        <v>SELECT @COURSE_COP_4520  = CourseID FROM Bellini.Course WHERE CoursePrefix = 'COP' AND CourseNumber = '4520';</v>
      </c>
      <c r="O101" s="3" t="s">
        <v>990</v>
      </c>
    </row>
    <row r="102" spans="1:15" x14ac:dyDescent="0.3">
      <c r="A102" s="3" t="s">
        <v>205</v>
      </c>
      <c r="B102" s="3" t="s">
        <v>224</v>
      </c>
      <c r="C102" s="3" t="s">
        <v>225</v>
      </c>
      <c r="D102" s="3">
        <v>3</v>
      </c>
      <c r="E102" s="3" t="s">
        <v>532</v>
      </c>
      <c r="G102" s="3" t="s">
        <v>531</v>
      </c>
      <c r="I102" s="3" t="str">
        <f t="shared" si="3"/>
        <v xml:space="preserve">    ('COP', '4530', 'Data Structures', 3, 'Understand and implement fundamentals of concise data structure and organization for program efficiency, clarity and simplification. Implementation of different data types and structures. Understanding of current data structures. Functional programming concepts will be covered.', 4000),</v>
      </c>
      <c r="K102" s="3" t="str">
        <f t="shared" si="4"/>
        <v xml:space="preserve">    @COURSE_COP_4530  INT,</v>
      </c>
      <c r="M102" s="3" t="str">
        <f t="shared" si="5"/>
        <v>SELECT @COURSE_COP_4530  = CourseID FROM Bellini.Course WHERE CoursePrefix = 'COP' AND CourseNumber = '4530';</v>
      </c>
      <c r="O102" s="3" t="s">
        <v>991</v>
      </c>
    </row>
    <row r="103" spans="1:15" x14ac:dyDescent="0.3">
      <c r="A103" s="3" t="s">
        <v>205</v>
      </c>
      <c r="B103" s="3" t="s">
        <v>226</v>
      </c>
      <c r="C103" s="3" t="s">
        <v>227</v>
      </c>
      <c r="D103" s="3">
        <v>3</v>
      </c>
      <c r="E103" s="3" t="s">
        <v>404</v>
      </c>
      <c r="G103" s="3" t="s">
        <v>533</v>
      </c>
      <c r="I103" s="3" t="str">
        <f t="shared" si="3"/>
        <v xml:space="preserve">    ('COP', '4538', 'Data Structures and Algorithms for Information Technology', 3, 'Formalizes the concepts of algorithm and time complexity. Data structures such as heaps, lists, queues, stacks, and various forms of trees are covered. Students design and analyze algorithms. Numerous classic algorithms are covered.', 4000),</v>
      </c>
      <c r="K103" s="3" t="str">
        <f t="shared" si="4"/>
        <v xml:space="preserve">    @COURSE_COP_4538  INT,</v>
      </c>
      <c r="M103" s="3" t="str">
        <f t="shared" si="5"/>
        <v>SELECT @COURSE_COP_4538  = CourseID FROM Bellini.Course WHERE CoursePrefix = 'COP' AND CourseNumber = '4538';</v>
      </c>
      <c r="O103" s="3" t="s">
        <v>992</v>
      </c>
    </row>
    <row r="104" spans="1:15" x14ac:dyDescent="0.3">
      <c r="A104" s="3" t="s">
        <v>205</v>
      </c>
      <c r="B104" s="3" t="s">
        <v>228</v>
      </c>
      <c r="C104" s="3" t="s">
        <v>229</v>
      </c>
      <c r="D104" s="3">
        <v>3</v>
      </c>
      <c r="E104" s="3" t="s">
        <v>404</v>
      </c>
      <c r="G104" s="3" t="s">
        <v>534</v>
      </c>
      <c r="I104" s="3" t="str">
        <f t="shared" si="3"/>
        <v xml:space="preserve">    ('COP', '4564', 'Application Maintenance &amp; Debugging for IT', 3, 'Addresses the software-development cycle and code maintenance, as well as software correctness. Various code testing strategies and debugging methods are presented along with tools for software maintenance and debugging.', 4000),</v>
      </c>
      <c r="K104" s="3" t="str">
        <f t="shared" si="4"/>
        <v xml:space="preserve">    @COURSE_COP_4564  INT,</v>
      </c>
      <c r="M104" s="3" t="str">
        <f t="shared" si="5"/>
        <v>SELECT @COURSE_COP_4564  = CourseID FROM Bellini.Course WHERE CoursePrefix = 'COP' AND CourseNumber = '4564';</v>
      </c>
      <c r="O104" s="3" t="s">
        <v>993</v>
      </c>
    </row>
    <row r="105" spans="1:15" x14ac:dyDescent="0.3">
      <c r="A105" s="3" t="s">
        <v>205</v>
      </c>
      <c r="B105" s="3" t="s">
        <v>230</v>
      </c>
      <c r="C105" s="3" t="s">
        <v>231</v>
      </c>
      <c r="D105" s="3">
        <v>3</v>
      </c>
      <c r="E105" s="3" t="s">
        <v>398</v>
      </c>
      <c r="G105" s="3" t="s">
        <v>535</v>
      </c>
      <c r="I105" s="3" t="str">
        <f t="shared" si="3"/>
        <v xml:space="preserve">    ('COP', '4600', 'Operating Systems', 3, 'Introduction to systems programming. Design of operating systems. Concurrent processing, synchronization, and storage management policies.', 4000),</v>
      </c>
      <c r="K105" s="3" t="str">
        <f t="shared" si="4"/>
        <v xml:space="preserve">    @COURSE_COP_4600  INT,</v>
      </c>
      <c r="M105" s="3" t="str">
        <f t="shared" si="5"/>
        <v>SELECT @COURSE_COP_4600  = CourseID FROM Bellini.Course WHERE CoursePrefix = 'COP' AND CourseNumber = '4600';</v>
      </c>
      <c r="O105" s="3" t="s">
        <v>994</v>
      </c>
    </row>
    <row r="106" spans="1:15" x14ac:dyDescent="0.3">
      <c r="A106" s="3" t="s">
        <v>205</v>
      </c>
      <c r="B106" s="3" t="s">
        <v>232</v>
      </c>
      <c r="C106" s="3" t="s">
        <v>233</v>
      </c>
      <c r="D106" s="3">
        <v>3</v>
      </c>
      <c r="E106" s="3" t="s">
        <v>398</v>
      </c>
      <c r="G106" s="3" t="s">
        <v>536</v>
      </c>
      <c r="I106" s="3" t="str">
        <f t="shared" si="3"/>
        <v xml:space="preserve">    ('COP', '4620', 'Compilers', 3, 'Introduction to techniques for compiling software; lexical, syntactic, and semantic analyses; abstract syntax trees; symbol tables; code generation and optimization.', 4000),</v>
      </c>
      <c r="K106" s="3" t="str">
        <f t="shared" si="4"/>
        <v xml:space="preserve">    @COURSE_COP_4620  INT,</v>
      </c>
      <c r="M106" s="3" t="str">
        <f t="shared" si="5"/>
        <v>SELECT @COURSE_COP_4620  = CourseID FROM Bellini.Course WHERE CoursePrefix = 'COP' AND CourseNumber = '4620';</v>
      </c>
      <c r="O106" s="3" t="s">
        <v>995</v>
      </c>
    </row>
    <row r="107" spans="1:15" x14ac:dyDescent="0.3">
      <c r="A107" s="3" t="s">
        <v>205</v>
      </c>
      <c r="B107" s="3" t="s">
        <v>234</v>
      </c>
      <c r="C107" s="3" t="s">
        <v>235</v>
      </c>
      <c r="D107" s="3">
        <v>3</v>
      </c>
      <c r="E107" s="3" t="s">
        <v>398</v>
      </c>
      <c r="G107" s="3" t="s">
        <v>537</v>
      </c>
      <c r="I107" s="3" t="str">
        <f t="shared" si="3"/>
        <v xml:space="preserve">    ('COP', '4656', 'Software Development for Mobile Devices', 3, 'This course covers software development for mobile devices, mainly cellular phones. The primary goal of the course is to teach students how to design, develop, and deploy complete market-ready applications for mobile devices.', 4000),</v>
      </c>
      <c r="K107" s="3" t="str">
        <f t="shared" si="4"/>
        <v xml:space="preserve">    @COURSE_COP_4656  INT,</v>
      </c>
      <c r="M107" s="3" t="str">
        <f t="shared" si="5"/>
        <v>SELECT @COURSE_COP_4656  = CourseID FROM Bellini.Course WHERE CoursePrefix = 'COP' AND CourseNumber = '4656';</v>
      </c>
      <c r="O107" s="3" t="s">
        <v>996</v>
      </c>
    </row>
    <row r="108" spans="1:15" x14ac:dyDescent="0.3">
      <c r="A108" s="3" t="s">
        <v>205</v>
      </c>
      <c r="B108" s="3" t="s">
        <v>236</v>
      </c>
      <c r="C108" s="3" t="s">
        <v>237</v>
      </c>
      <c r="D108" s="3">
        <v>3</v>
      </c>
      <c r="E108" s="3" t="s">
        <v>530</v>
      </c>
      <c r="G108" s="3" t="s">
        <v>538</v>
      </c>
      <c r="I108" s="3" t="str">
        <f t="shared" si="3"/>
        <v xml:space="preserve">    ('COP', '4703', 'Advanced Database Systems for Information Technology', 3, 'Database management systems are presented, covering relational, CODASYL, network, hierarchical, and object-oriented models. Backups and database server admin are covered. Best practices for information management are covered.', 4000),</v>
      </c>
      <c r="K108" s="3" t="str">
        <f t="shared" si="4"/>
        <v xml:space="preserve">    @COURSE_COP_4703  INT,</v>
      </c>
      <c r="M108" s="3" t="str">
        <f t="shared" si="5"/>
        <v>SELECT @COURSE_COP_4703  = CourseID FROM Bellini.Course WHERE CoursePrefix = 'COP' AND CourseNumber = '4703';</v>
      </c>
      <c r="O108" s="3" t="s">
        <v>997</v>
      </c>
    </row>
    <row r="109" spans="1:15" x14ac:dyDescent="0.3">
      <c r="A109" s="3" t="s">
        <v>205</v>
      </c>
      <c r="B109" s="3" t="s">
        <v>238</v>
      </c>
      <c r="C109" s="3" t="s">
        <v>239</v>
      </c>
      <c r="D109" s="3">
        <v>3</v>
      </c>
      <c r="E109" s="3" t="s">
        <v>401</v>
      </c>
      <c r="F109" s="3" t="s">
        <v>398</v>
      </c>
      <c r="G109" s="3" t="s">
        <v>539</v>
      </c>
      <c r="I109" s="3" t="str">
        <f t="shared" si="3"/>
        <v xml:space="preserve">    ('COP', '4710', 'Database Design', 3, 'This course covers the fundamentals and applications of database management systems, including data models, relational database design, query languages, and web-based database applications.', 4000),</v>
      </c>
      <c r="K109" s="3" t="str">
        <f t="shared" si="4"/>
        <v xml:space="preserve">    @COURSE_COP_4710  INT,</v>
      </c>
      <c r="M109" s="3" t="str">
        <f t="shared" si="5"/>
        <v>SELECT @COURSE_COP_4710  = CourseID FROM Bellini.Course WHERE CoursePrefix = 'COP' AND CourseNumber = '4710';</v>
      </c>
      <c r="O109" s="3" t="s">
        <v>998</v>
      </c>
    </row>
    <row r="110" spans="1:15" x14ac:dyDescent="0.3">
      <c r="A110" s="3" t="s">
        <v>205</v>
      </c>
      <c r="B110" s="3" t="s">
        <v>240</v>
      </c>
      <c r="C110" s="3" t="s">
        <v>241</v>
      </c>
      <c r="D110" s="3">
        <v>3</v>
      </c>
      <c r="E110" s="3" t="s">
        <v>530</v>
      </c>
      <c r="G110" s="3" t="s">
        <v>540</v>
      </c>
      <c r="I110" s="3" t="str">
        <f t="shared" si="3"/>
        <v xml:space="preserve">    ('COP', '4883', 'Java Programming for Information Technology', 3, 'This course covers object-oriented programming in Java and Java foundation classes. Topics include classes, inheritance, interfaces, graphical user interfaces (GUIs), event-driven programming, exception handling, and networking.', 4000),</v>
      </c>
      <c r="K110" s="3" t="str">
        <f t="shared" si="4"/>
        <v xml:space="preserve">    @COURSE_COP_4883  INT,</v>
      </c>
      <c r="M110" s="3" t="str">
        <f t="shared" si="5"/>
        <v>SELECT @COURSE_COP_4883  = CourseID FROM Bellini.Course WHERE CoursePrefix = 'COP' AND CourseNumber = '4883';</v>
      </c>
      <c r="O110" s="3" t="s">
        <v>999</v>
      </c>
    </row>
    <row r="111" spans="1:15" x14ac:dyDescent="0.3">
      <c r="A111" s="3" t="s">
        <v>205</v>
      </c>
      <c r="B111" s="3" t="s">
        <v>169</v>
      </c>
      <c r="C111" s="3" t="s">
        <v>242</v>
      </c>
      <c r="D111" s="3" t="s">
        <v>171</v>
      </c>
      <c r="G111" s="3" t="s">
        <v>487</v>
      </c>
      <c r="I111" s="3" t="str">
        <f t="shared" si="3"/>
        <v xml:space="preserve">    ('COP', '4900', 'Independent Study in Information Technology', 1-5, 'Specialized independent study determined by the needs and interests of the student.', 4000),</v>
      </c>
      <c r="K111" s="3" t="str">
        <f t="shared" si="4"/>
        <v xml:space="preserve">    @COURSE_COP_4900  INT,</v>
      </c>
      <c r="M111" s="3" t="str">
        <f t="shared" si="5"/>
        <v>SELECT @COURSE_COP_4900  = CourseID FROM Bellini.Course WHERE CoursePrefix = 'COP' AND CourseNumber = '4900';</v>
      </c>
      <c r="O111" s="3" t="s">
        <v>1000</v>
      </c>
    </row>
    <row r="112" spans="1:15" x14ac:dyDescent="0.3">
      <c r="A112" s="3" t="s">
        <v>205</v>
      </c>
      <c r="B112" s="3" t="s">
        <v>243</v>
      </c>
      <c r="C112" s="3" t="s">
        <v>244</v>
      </c>
      <c r="D112" s="3">
        <v>3</v>
      </c>
      <c r="G112" s="3" t="s">
        <v>541</v>
      </c>
      <c r="I112" s="3" t="str">
        <f t="shared" si="3"/>
        <v xml:space="preserve">    ('COP', '4931', 'Special Topics for Information Technology', 3, 'Topics to be chosen by students and instructor permitting newly developing sub-disciplinary special interests to be explored.', 4000),</v>
      </c>
      <c r="K112" s="3" t="str">
        <f t="shared" si="4"/>
        <v xml:space="preserve">    @COURSE_COP_4931  INT,</v>
      </c>
      <c r="M112" s="3" t="str">
        <f t="shared" si="5"/>
        <v>SELECT @COURSE_COP_4931  = CourseID FROM Bellini.Course WHERE CoursePrefix = 'COP' AND CourseNumber = '4931';</v>
      </c>
      <c r="O112" s="3" t="s">
        <v>1001</v>
      </c>
    </row>
    <row r="113" spans="1:15" x14ac:dyDescent="0.3">
      <c r="A113" s="3" t="s">
        <v>245</v>
      </c>
      <c r="B113" s="3" t="s">
        <v>246</v>
      </c>
      <c r="C113" s="3" t="s">
        <v>247</v>
      </c>
      <c r="D113" s="3">
        <v>3</v>
      </c>
      <c r="E113" s="3" t="s">
        <v>543</v>
      </c>
      <c r="G113" s="3" t="s">
        <v>542</v>
      </c>
      <c r="I113" s="3" t="str">
        <f t="shared" si="3"/>
        <v xml:space="preserve">    ('COT', '3100', 'Introduction to Discrete Structures', 3, 'Introduction to set algebra, propositional calculus and finite algebraic structures as they apply to computer systems.', 3000),</v>
      </c>
      <c r="K113" s="3" t="str">
        <f t="shared" si="4"/>
        <v xml:space="preserve">    @COURSE_COT_3100  INT,</v>
      </c>
      <c r="M113" s="3" t="str">
        <f t="shared" si="5"/>
        <v>SELECT @COURSE_COT_3100  = CourseID FROM Bellini.Course WHERE CoursePrefix = 'COT' AND CourseNumber = '3100';</v>
      </c>
      <c r="O113" s="3" t="s">
        <v>1002</v>
      </c>
    </row>
    <row r="114" spans="1:15" x14ac:dyDescent="0.3">
      <c r="A114" s="3" t="s">
        <v>245</v>
      </c>
      <c r="B114" s="3" t="s">
        <v>248</v>
      </c>
      <c r="C114" s="3" t="s">
        <v>249</v>
      </c>
      <c r="D114" s="3">
        <v>3</v>
      </c>
      <c r="E114" s="3" t="s">
        <v>503</v>
      </c>
      <c r="G114" s="3" t="s">
        <v>544</v>
      </c>
      <c r="I114" s="3" t="str">
        <f t="shared" si="3"/>
        <v xml:space="preserve">    ('COT', '4210', 'Automata Theory and Formal Languages', 3, 'Introduction to the theory and application of various types of computing devices and the languages they recognize.', 4000),</v>
      </c>
      <c r="K114" s="3" t="str">
        <f t="shared" si="4"/>
        <v xml:space="preserve">    @COURSE_COT_4210  INT,</v>
      </c>
      <c r="M114" s="3" t="str">
        <f t="shared" si="5"/>
        <v>SELECT @COURSE_COT_4210  = CourseID FROM Bellini.Course WHERE CoursePrefix = 'COT' AND CourseNumber = '4210';</v>
      </c>
      <c r="O114" s="3" t="s">
        <v>1003</v>
      </c>
    </row>
    <row r="115" spans="1:15" x14ac:dyDescent="0.3">
      <c r="A115" s="3" t="s">
        <v>245</v>
      </c>
      <c r="B115" s="3" t="s">
        <v>250</v>
      </c>
      <c r="C115" s="3" t="s">
        <v>251</v>
      </c>
      <c r="D115" s="3">
        <v>3</v>
      </c>
      <c r="E115" s="3" t="s">
        <v>546</v>
      </c>
      <c r="G115" s="3" t="s">
        <v>545</v>
      </c>
      <c r="I115" s="3" t="str">
        <f t="shared" si="3"/>
        <v xml:space="preserve">    ('COT', '4400', 'Analysis of Algorithms', 3, 'Design principles and analysis techniques applicable to various classes of computer algorithms frequently used in practice.', 4000),</v>
      </c>
      <c r="K115" s="3" t="str">
        <f t="shared" si="4"/>
        <v xml:space="preserve">    @COURSE_COT_4400  INT,</v>
      </c>
      <c r="M115" s="3" t="str">
        <f t="shared" si="5"/>
        <v>SELECT @COURSE_COT_4400  = CourseID FROM Bellini.Course WHERE CoursePrefix = 'COT' AND CourseNumber = '4400';</v>
      </c>
      <c r="O115" s="3" t="s">
        <v>1004</v>
      </c>
    </row>
    <row r="116" spans="1:15" x14ac:dyDescent="0.3">
      <c r="A116" s="3" t="s">
        <v>245</v>
      </c>
      <c r="B116" s="3" t="s">
        <v>252</v>
      </c>
      <c r="C116" s="3" t="s">
        <v>253</v>
      </c>
      <c r="D116" s="3">
        <v>3</v>
      </c>
      <c r="E116" s="3" t="s">
        <v>548</v>
      </c>
      <c r="G116" s="3" t="s">
        <v>547</v>
      </c>
      <c r="I116" s="3" t="str">
        <f t="shared" si="3"/>
        <v xml:space="preserve">    ('COT', '4521', 'Computational Geometry', 3, 'Computational geometry is the study of efficient algorithms to solve geometric problems. Topics covered include Polygonal Triangulations, Polygon Partitioning, Convex Hulls, Voronoi Diagrams, Arrangements, Search and Intersection, and Motion Planning.', 4000),</v>
      </c>
      <c r="K116" s="3" t="str">
        <f t="shared" si="4"/>
        <v xml:space="preserve">    @COURSE_COT_4521  INT,</v>
      </c>
      <c r="M116" s="3" t="str">
        <f t="shared" si="5"/>
        <v>SELECT @COURSE_COT_4521  = CourseID FROM Bellini.Course WHERE CoursePrefix = 'COT' AND CourseNumber = '4521';</v>
      </c>
      <c r="O116" s="3" t="s">
        <v>1005</v>
      </c>
    </row>
    <row r="117" spans="1:15" x14ac:dyDescent="0.3">
      <c r="A117" s="3" t="s">
        <v>245</v>
      </c>
      <c r="B117" s="3" t="s">
        <v>254</v>
      </c>
      <c r="C117" s="3" t="s">
        <v>255</v>
      </c>
      <c r="D117" s="3">
        <v>3</v>
      </c>
      <c r="E117" s="3" t="s">
        <v>550</v>
      </c>
      <c r="G117" s="3" t="s">
        <v>549</v>
      </c>
      <c r="I117" s="3" t="str">
        <f t="shared" si="3"/>
        <v xml:space="preserve">    ('COT', '4601', 'Quantum Computing and Quantum Algorithms', 3, 'Introduction to and survey of quantum computing. Theory of qubits and quantum computation are studied including entanglement, superdense coding, quantum teleportation, and current topics. Students will also program simulated and real quantum computers.', 4000),</v>
      </c>
      <c r="K117" s="3" t="str">
        <f t="shared" si="4"/>
        <v xml:space="preserve">    @COURSE_COT_4601  INT,</v>
      </c>
      <c r="M117" s="3" t="str">
        <f t="shared" si="5"/>
        <v>SELECT @COURSE_COT_4601  = CourseID FROM Bellini.Course WHERE CoursePrefix = 'COT' AND CourseNumber = '4601';</v>
      </c>
      <c r="O117" s="3" t="s">
        <v>1006</v>
      </c>
    </row>
    <row r="118" spans="1:15" x14ac:dyDescent="0.3">
      <c r="A118" s="3" t="s">
        <v>256</v>
      </c>
      <c r="B118" s="3" t="s">
        <v>257</v>
      </c>
      <c r="C118" s="3" t="s">
        <v>258</v>
      </c>
      <c r="D118" s="3">
        <v>3</v>
      </c>
      <c r="E118" s="3" t="s">
        <v>500</v>
      </c>
      <c r="G118" s="3" t="s">
        <v>551</v>
      </c>
      <c r="I118" s="3" t="str">
        <f t="shared" si="3"/>
        <v xml:space="preserve">    ('CTS', '4337', 'Linux Workstations System Administration for IT', 3, 'Students learn to install, configure, tune, and administer a Linux system. Administration focuses on managing user accounts, file systems, and processes. System commands are presented and students learn to write basic scripts.', 4000),</v>
      </c>
      <c r="K118" s="3" t="str">
        <f t="shared" si="4"/>
        <v xml:space="preserve">    @COURSE_CTS_4337  INT,</v>
      </c>
      <c r="M118" s="3" t="str">
        <f t="shared" si="5"/>
        <v>SELECT @COURSE_CTS_4337  = CourseID FROM Bellini.Course WHERE CoursePrefix = 'CTS' AND CourseNumber = '4337';</v>
      </c>
      <c r="O118" s="3" t="s">
        <v>1007</v>
      </c>
    </row>
    <row r="119" spans="1:15" x14ac:dyDescent="0.3">
      <c r="A119" s="3" t="s">
        <v>259</v>
      </c>
      <c r="B119" s="3" t="s">
        <v>260</v>
      </c>
      <c r="C119" s="3" t="s">
        <v>261</v>
      </c>
      <c r="D119" s="3">
        <v>3</v>
      </c>
      <c r="G119" s="3" t="s">
        <v>552</v>
      </c>
      <c r="I119" s="3" t="str">
        <f t="shared" si="3"/>
        <v xml:space="preserve">    ('ECO', '2013', 'Economic Principles (Macroeconomics)', 3, 'ECO 2013 introduces students to basic economic terminology, definitions and measurements of macroeconomic data, simple macroeconomic models, fiscal and monetary policy, and international macroeconomic linkages.', 2000),</v>
      </c>
      <c r="K119" s="3" t="str">
        <f t="shared" si="4"/>
        <v xml:space="preserve">    @COURSE_ECO_2013  INT,</v>
      </c>
      <c r="M119" s="3" t="str">
        <f t="shared" si="5"/>
        <v>SELECT @COURSE_ECO_2013  = CourseID FROM Bellini.Course WHERE CoursePrefix = 'ECO' AND CourseNumber = '2013';</v>
      </c>
      <c r="O119" s="3" t="s">
        <v>1008</v>
      </c>
    </row>
    <row r="120" spans="1:15" x14ac:dyDescent="0.3">
      <c r="A120" s="3" t="s">
        <v>262</v>
      </c>
      <c r="B120" s="3" t="s">
        <v>263</v>
      </c>
      <c r="C120" s="3" t="s">
        <v>264</v>
      </c>
      <c r="D120" s="3">
        <v>3</v>
      </c>
      <c r="G120" s="3" t="s">
        <v>553</v>
      </c>
      <c r="I120" s="3" t="str">
        <f t="shared" si="3"/>
        <v xml:space="preserve">    ('EDG', '3801', 'Cybersecurity and the Everyday Citizen', 3, 'This course explores the human side of cybersecurity in a globally connected world. We will focus on personal, social and policy issues as well as address strategies to secure our digital footprints and promote safe interactions.', 3000),</v>
      </c>
      <c r="K120" s="3" t="str">
        <f t="shared" si="4"/>
        <v xml:space="preserve">    @COURSE_EDG_3801  INT,</v>
      </c>
      <c r="M120" s="3" t="str">
        <f t="shared" si="5"/>
        <v>SELECT @COURSE_EDG_3801  = CourseID FROM Bellini.Course WHERE CoursePrefix = 'EDG' AND CourseNumber = '3801';</v>
      </c>
      <c r="O120" s="3" t="s">
        <v>1009</v>
      </c>
    </row>
    <row r="121" spans="1:15" x14ac:dyDescent="0.3">
      <c r="A121" s="3" t="s">
        <v>265</v>
      </c>
      <c r="B121" s="3" t="s">
        <v>266</v>
      </c>
      <c r="C121" s="3" t="s">
        <v>267</v>
      </c>
      <c r="D121" s="3">
        <v>3</v>
      </c>
      <c r="E121" s="3" t="s">
        <v>555</v>
      </c>
      <c r="F121" s="3" t="s">
        <v>556</v>
      </c>
      <c r="G121" s="3" t="s">
        <v>554</v>
      </c>
      <c r="I121" s="3" t="str">
        <f t="shared" si="3"/>
        <v xml:space="preserve">    ('EEE', '3394', 'Electrical Engineering Science I - Electronic Materials', 3, 'This course provides electrical and computer engineering students with a strong background in material science and quantum physics as they relate to electrical/electronic material and device properties and applications.', 3000),</v>
      </c>
      <c r="K121" s="3" t="str">
        <f t="shared" si="4"/>
        <v xml:space="preserve">    @COURSE_EEE_3394  INT,</v>
      </c>
      <c r="M121" s="3" t="str">
        <f t="shared" si="5"/>
        <v>SELECT @COURSE_EEE_3394  = CourseID FROM Bellini.Course WHERE CoursePrefix = 'EEE' AND CourseNumber = '3394';</v>
      </c>
      <c r="O121" s="3" t="s">
        <v>1010</v>
      </c>
    </row>
    <row r="122" spans="1:15" x14ac:dyDescent="0.3">
      <c r="A122" s="3" t="s">
        <v>268</v>
      </c>
      <c r="B122" s="3" t="s">
        <v>269</v>
      </c>
      <c r="C122" s="3" t="s">
        <v>270</v>
      </c>
      <c r="D122" s="3" t="s">
        <v>271</v>
      </c>
      <c r="G122" s="3" t="s">
        <v>557</v>
      </c>
      <c r="I122" s="3" t="str">
        <f t="shared" si="3"/>
        <v xml:space="preserve">    ('EGN', '3000', 'Foundations of Engineering', 0-3, 'Introduction to the USF College of Engineering disciplines and the engineering profession. Course will provide you with knowledge of resources to help you succeed. Course topics include academic policies and procedures, study skills, and career planning.', 3000),</v>
      </c>
      <c r="K122" s="3" t="str">
        <f t="shared" si="4"/>
        <v xml:space="preserve">    @COURSE_EGN_3000  INT,</v>
      </c>
      <c r="M122" s="3" t="str">
        <f t="shared" si="5"/>
        <v>SELECT @COURSE_EGN_3000  = CourseID FROM Bellini.Course WHERE CoursePrefix = 'EGN' AND CourseNumber = '3000';</v>
      </c>
      <c r="O122" s="3" t="s">
        <v>1011</v>
      </c>
    </row>
    <row r="123" spans="1:15" x14ac:dyDescent="0.3">
      <c r="A123" s="3" t="s">
        <v>268</v>
      </c>
      <c r="B123" s="3" t="s">
        <v>272</v>
      </c>
      <c r="C123" s="3" t="s">
        <v>273</v>
      </c>
      <c r="D123" s="3">
        <v>3</v>
      </c>
      <c r="G123" s="3" t="s">
        <v>558</v>
      </c>
      <c r="I123" s="3" t="str">
        <f t="shared" si="3"/>
        <v xml:space="preserve">    ('EGN', '3000L', 'Foundations of Engineering Lab ', 3, 'Introduction to Engineering and its disciplines incorporating examples of tools and techniques used in design and presentation. Laboratory exercises will include computer tools, engineering design, team projects, and oral and written communication skills.', 3000),</v>
      </c>
      <c r="K123" s="3" t="str">
        <f t="shared" si="4"/>
        <v xml:space="preserve">    @COURSE_EGN_3000L INT,</v>
      </c>
      <c r="M123" s="3" t="str">
        <f t="shared" si="5"/>
        <v>SELECT @COURSE_EGN_3000L = CourseID FROM Bellini.Course WHERE CoursePrefix = 'EGN' AND CourseNumber = '3000L';</v>
      </c>
      <c r="O123" s="3" t="s">
        <v>898</v>
      </c>
    </row>
    <row r="124" spans="1:15" x14ac:dyDescent="0.3">
      <c r="A124" s="3" t="s">
        <v>268</v>
      </c>
      <c r="B124" s="3" t="s">
        <v>274</v>
      </c>
      <c r="C124" s="3" t="s">
        <v>275</v>
      </c>
      <c r="D124" s="3">
        <v>3</v>
      </c>
      <c r="F124" s="3" t="s">
        <v>560</v>
      </c>
      <c r="G124" s="3" t="s">
        <v>559</v>
      </c>
      <c r="I124" s="3" t="str">
        <f t="shared" si="3"/>
        <v xml:space="preserve">    ('EGN', '3373', 'Electrical Systems I', 3, 'A first course in electrical systems: AC/DC circuit analysis, electronics (diodes, transistors, operational amplifiers), digital circuits (logic gates, K-maps), control systems concepts (final value theorem), electrical safety, and AC power.', 3000),</v>
      </c>
      <c r="K124" s="3" t="str">
        <f t="shared" si="4"/>
        <v xml:space="preserve">    @COURSE_EGN_3373  INT,</v>
      </c>
      <c r="M124" s="3" t="str">
        <f t="shared" si="5"/>
        <v>SELECT @COURSE_EGN_3373  = CourseID FROM Bellini.Course WHERE CoursePrefix = 'EGN' AND CourseNumber = '3373';</v>
      </c>
      <c r="O124" s="3" t="s">
        <v>1012</v>
      </c>
    </row>
    <row r="125" spans="1:15" x14ac:dyDescent="0.3">
      <c r="A125" s="3" t="s">
        <v>268</v>
      </c>
      <c r="B125" s="3" t="s">
        <v>143</v>
      </c>
      <c r="C125" s="3" t="s">
        <v>276</v>
      </c>
      <c r="D125" s="3">
        <v>3</v>
      </c>
      <c r="E125" s="3" t="s">
        <v>562</v>
      </c>
      <c r="G125" s="3" t="s">
        <v>561</v>
      </c>
      <c r="I125" s="3" t="str">
        <f t="shared" si="3"/>
        <v xml:space="preserve">    ('EGN', '3433', 'Modeling and Analysis of Engineering Systems', 3, 'Dynamic analysis of electrical, mechanical, hydraulic and thermal systems; Laplace transforms; numerical methods; use of computers in dynamic systems; analytical solution to first and second order ODEs. Restricted to majors.', 3000),</v>
      </c>
      <c r="K125" s="3" t="str">
        <f t="shared" si="4"/>
        <v xml:space="preserve">    @COURSE_EGN_3433  INT,</v>
      </c>
      <c r="M125" s="3" t="str">
        <f t="shared" si="5"/>
        <v>SELECT @COURSE_EGN_3433  = CourseID FROM Bellini.Course WHERE CoursePrefix = 'EGN' AND CourseNumber = '3433';</v>
      </c>
      <c r="O125" s="3" t="s">
        <v>1013</v>
      </c>
    </row>
    <row r="126" spans="1:15" x14ac:dyDescent="0.3">
      <c r="A126" s="3" t="s">
        <v>268</v>
      </c>
      <c r="B126" s="3" t="s">
        <v>277</v>
      </c>
      <c r="C126" s="3" t="s">
        <v>278</v>
      </c>
      <c r="D126" s="3">
        <v>3</v>
      </c>
      <c r="E126" s="3" t="s">
        <v>564</v>
      </c>
      <c r="G126" s="3" t="s">
        <v>563</v>
      </c>
      <c r="I126" s="3" t="str">
        <f t="shared" si="3"/>
        <v xml:space="preserve">    ('EGN', '3443', 'Probability and Statistics for Engineers', 3, 'An introduction to concepts of probability and statistical analysis with special emphasis on critical interpretation of data, comparing and contrasting claims, critical thinking, problem solving, and writing.', 3000),</v>
      </c>
      <c r="K126" s="3" t="str">
        <f t="shared" si="4"/>
        <v xml:space="preserve">    @COURSE_EGN_3443  INT,</v>
      </c>
      <c r="M126" s="3" t="str">
        <f t="shared" si="5"/>
        <v>SELECT @COURSE_EGN_3443  = CourseID FROM Bellini.Course WHERE CoursePrefix = 'EGN' AND CourseNumber = '3443';</v>
      </c>
      <c r="O126" s="3" t="s">
        <v>1014</v>
      </c>
    </row>
    <row r="127" spans="1:15" x14ac:dyDescent="0.3">
      <c r="A127" s="3" t="s">
        <v>268</v>
      </c>
      <c r="B127" s="3" t="s">
        <v>279</v>
      </c>
      <c r="C127" s="3" t="s">
        <v>280</v>
      </c>
      <c r="D127" s="3">
        <v>3</v>
      </c>
      <c r="G127" s="3" t="s">
        <v>565</v>
      </c>
      <c r="I127" s="3" t="str">
        <f t="shared" si="3"/>
        <v xml:space="preserve">    ('EGN', '3615', 'Engineering Economics with Social and Global Implications', 3, 'Presents basic economic models used to evaluate engineering project investments with an understanding of the implications of human and cultural diversity on financial decisions through lectures, problem solving, and critical writing.', 3000),</v>
      </c>
      <c r="K127" s="3" t="str">
        <f t="shared" si="4"/>
        <v xml:space="preserve">    @COURSE_EGN_3615  INT,</v>
      </c>
      <c r="M127" s="3" t="str">
        <f t="shared" si="5"/>
        <v>SELECT @COURSE_EGN_3615  = CourseID FROM Bellini.Course WHERE CoursePrefix = 'EGN' AND CourseNumber = '3615';</v>
      </c>
      <c r="O127" s="3" t="s">
        <v>1015</v>
      </c>
    </row>
    <row r="128" spans="1:15" x14ac:dyDescent="0.3">
      <c r="A128" s="3" t="s">
        <v>268</v>
      </c>
      <c r="B128" s="3" t="s">
        <v>281</v>
      </c>
      <c r="C128" s="3" t="s">
        <v>282</v>
      </c>
      <c r="D128" s="3">
        <v>2</v>
      </c>
      <c r="E128" s="3" t="s">
        <v>564</v>
      </c>
      <c r="G128" s="3" t="s">
        <v>566</v>
      </c>
      <c r="I128" s="3" t="str">
        <f t="shared" si="3"/>
        <v xml:space="preserve">    ('EGN', '4450', 'Introduction to Linear Systems', 2, 'Study and application of matrix algebra, differential equations and calculus of finite differences.', 4000),</v>
      </c>
      <c r="K128" s="3" t="str">
        <f t="shared" si="4"/>
        <v xml:space="preserve">    @COURSE_EGN_4450  INT,</v>
      </c>
      <c r="M128" s="3" t="str">
        <f t="shared" si="5"/>
        <v>SELECT @COURSE_EGN_4450  = CourseID FROM Bellini.Course WHERE CoursePrefix = 'EGN' AND CourseNumber = '4450';</v>
      </c>
      <c r="O128" s="3" t="s">
        <v>1016</v>
      </c>
    </row>
    <row r="129" spans="1:15" x14ac:dyDescent="0.3">
      <c r="A129" s="3" t="s">
        <v>283</v>
      </c>
      <c r="B129" s="3" t="s">
        <v>284</v>
      </c>
      <c r="C129" s="3" t="s">
        <v>285</v>
      </c>
      <c r="D129" s="3">
        <v>3</v>
      </c>
      <c r="G129" s="3" t="s">
        <v>567</v>
      </c>
      <c r="I129" s="3" t="str">
        <f t="shared" si="3"/>
        <v xml:space="preserve">    ('ENC', '1101', 'Composition I', 3, 'This course helps prepare students for academic work by emphasizing expository writing, the basics of library research, and the conventions of academic discourse.', 1000),</v>
      </c>
      <c r="K129" s="3" t="str">
        <f t="shared" si="4"/>
        <v xml:space="preserve">    @COURSE_ENC_1101  INT,</v>
      </c>
      <c r="M129" s="3" t="str">
        <f t="shared" si="5"/>
        <v>SELECT @COURSE_ENC_1101  = CourseID FROM Bellini.Course WHERE CoursePrefix = 'ENC' AND CourseNumber = '1101';</v>
      </c>
      <c r="O129" s="3" t="s">
        <v>1017</v>
      </c>
    </row>
    <row r="130" spans="1:15" x14ac:dyDescent="0.3">
      <c r="A130" s="3" t="s">
        <v>283</v>
      </c>
      <c r="B130" s="3" t="s">
        <v>286</v>
      </c>
      <c r="C130" s="3" t="s">
        <v>287</v>
      </c>
      <c r="D130" s="3">
        <v>3</v>
      </c>
      <c r="E130" s="3" t="s">
        <v>10</v>
      </c>
      <c r="G130" s="3" t="s">
        <v>568</v>
      </c>
      <c r="I130" s="3" t="str">
        <f t="shared" si="3"/>
        <v xml:space="preserve">    ('ENC', '1102', 'Composition II', 3, 'This course emphasizes argument, research, and style. As students engage in creative and critical thinking, they learn to support assertions based on audience and purpose; students apply library research, strategies for revision, and peer response.', 1000),</v>
      </c>
      <c r="K130" s="3" t="str">
        <f t="shared" si="4"/>
        <v xml:space="preserve">    @COURSE_ENC_1102  INT,</v>
      </c>
      <c r="M130" s="3" t="str">
        <f t="shared" si="5"/>
        <v>SELECT @COURSE_ENC_1102  = CourseID FROM Bellini.Course WHERE CoursePrefix = 'ENC' AND CourseNumber = '1102';</v>
      </c>
      <c r="O130" s="3" t="s">
        <v>1018</v>
      </c>
    </row>
    <row r="131" spans="1:15" x14ac:dyDescent="0.3">
      <c r="A131" s="3" t="s">
        <v>283</v>
      </c>
      <c r="B131" s="3" t="s">
        <v>288</v>
      </c>
      <c r="C131" s="3" t="s">
        <v>289</v>
      </c>
      <c r="D131" s="3">
        <v>3</v>
      </c>
      <c r="E131" s="3" t="s">
        <v>570</v>
      </c>
      <c r="G131" s="3" t="s">
        <v>569</v>
      </c>
      <c r="I131" s="3" t="str">
        <f t="shared" si="3"/>
        <v xml:space="preserve">    ('ENC', '3246', 'Communication for Engineers', 3, 'Focuses on writing concerns of engineers. Deals with the content, organization, format, and style of specific types of engineering documents. Provides opportunity to improve oral presentations.', 3000),</v>
      </c>
      <c r="K131" s="3" t="str">
        <f t="shared" si="4"/>
        <v xml:space="preserve">    @COURSE_ENC_3246  INT,</v>
      </c>
      <c r="M131" s="3" t="str">
        <f t="shared" si="5"/>
        <v>SELECT @COURSE_ENC_3246  = CourseID FROM Bellini.Course WHERE CoursePrefix = 'ENC' AND CourseNumber = '3246';</v>
      </c>
      <c r="O131" s="3" t="s">
        <v>1019</v>
      </c>
    </row>
    <row r="132" spans="1:15" x14ac:dyDescent="0.3">
      <c r="A132" s="3" t="s">
        <v>362</v>
      </c>
      <c r="B132" s="3" t="s">
        <v>340</v>
      </c>
      <c r="C132" s="3" t="s">
        <v>363</v>
      </c>
      <c r="D132" s="3">
        <v>3</v>
      </c>
      <c r="G132" s="3" t="s">
        <v>571</v>
      </c>
      <c r="I132" s="3" t="str">
        <f t="shared" ref="I132:K169" si="6">"    ('" &amp; A132 &amp; "', '" &amp; B132 &amp; "', '" &amp; C132 &amp; "', " &amp; D132 &amp; ", '" &amp; G132 &amp; "', " &amp; 1000 * ROUNDDOWN(MID(B132, 1, 4) / 1000, 0) &amp; "),"</f>
        <v xml:space="preserve">    ('ESC', '2000', 'Introduction to Earth Science', 3, 'An introductory course in the Earth Sciences. Topics covered include geology, weather, climate change, ocean dynamics, and the history of the Earth, the solar system and beyond', 2000),</v>
      </c>
      <c r="K132" s="3" t="str">
        <f t="shared" ref="K132:M169" si="7">"    @COURSE_" &amp; A132 &amp; "_" &amp; B132 &amp; IF(LEN(B132) = 4, " ", "") &amp; " INT,"</f>
        <v xml:space="preserve">    @COURSE_ESC_2000  INT,</v>
      </c>
      <c r="M132" s="3" t="str">
        <f t="shared" ref="M132:O169" si="8">"SELECT @COURSE_" &amp; A132 &amp; "_" &amp; B132 &amp; IF(LEN(B132) = 4, " ", "") &amp; " = CourseID FROM Bellini.Course WHERE CoursePrefix = '" &amp; A132 &amp; "' AND CourseNumber = '" &amp; B132 &amp; "';"</f>
        <v>SELECT @COURSE_ESC_2000  = CourseID FROM Bellini.Course WHERE CoursePrefix = 'ESC' AND CourseNumber = '2000';</v>
      </c>
      <c r="O132" s="3" t="s">
        <v>1020</v>
      </c>
    </row>
    <row r="133" spans="1:15" x14ac:dyDescent="0.3">
      <c r="A133" s="3" t="s">
        <v>364</v>
      </c>
      <c r="B133" s="3" t="s">
        <v>365</v>
      </c>
      <c r="C133" s="3" t="s">
        <v>366</v>
      </c>
      <c r="D133" s="3">
        <v>3</v>
      </c>
      <c r="G133" s="3" t="s">
        <v>572</v>
      </c>
      <c r="I133" s="3" t="str">
        <f t="shared" si="6"/>
        <v xml:space="preserve">    ('EVR', '2001', 'Introduction to Environmental Science', 3, 'An introductory lecture course linking the human and physical/biological world. The course will develop an understanding of population and resource interactions.', 2000),</v>
      </c>
      <c r="K133" s="3" t="str">
        <f t="shared" si="7"/>
        <v xml:space="preserve">    @COURSE_EVR_2001  INT,</v>
      </c>
      <c r="M133" s="3" t="str">
        <f t="shared" si="8"/>
        <v>SELECT @COURSE_EVR_2001  = CourseID FROM Bellini.Course WHERE CoursePrefix = 'EVR' AND CourseNumber = '2001';</v>
      </c>
      <c r="O133" s="3" t="s">
        <v>1021</v>
      </c>
    </row>
    <row r="134" spans="1:15" x14ac:dyDescent="0.3">
      <c r="A134" s="3" t="s">
        <v>341</v>
      </c>
      <c r="B134" s="3" t="s">
        <v>342</v>
      </c>
      <c r="C134" s="3" t="s">
        <v>343</v>
      </c>
      <c r="D134" s="3">
        <v>3</v>
      </c>
      <c r="G134" s="3" t="s">
        <v>573</v>
      </c>
      <c r="I134" s="3" t="str">
        <f t="shared" si="6"/>
        <v xml:space="preserve">    ('HUM', '1020', 'Introduction to Humanities', 3, 'Analysis of selected works of literature, music, film, and visual art, representing artists of diverse periods, cultures, genders, and races. Especially recommended for students who later take 4000-level Humanities courses.', 1000),</v>
      </c>
      <c r="K134" s="3" t="str">
        <f t="shared" si="7"/>
        <v xml:space="preserve">    @COURSE_HUM_1020  INT,</v>
      </c>
      <c r="M134" s="3" t="str">
        <f t="shared" si="8"/>
        <v>SELECT @COURSE_HUM_1020  = CourseID FROM Bellini.Course WHERE CoursePrefix = 'HUM' AND CourseNumber = '1020';</v>
      </c>
      <c r="O134" s="3" t="s">
        <v>1022</v>
      </c>
    </row>
    <row r="135" spans="1:15" x14ac:dyDescent="0.3">
      <c r="A135" s="3" t="s">
        <v>290</v>
      </c>
      <c r="B135" s="3" t="s">
        <v>291</v>
      </c>
      <c r="C135" s="3" t="s">
        <v>292</v>
      </c>
      <c r="D135" s="3">
        <v>3</v>
      </c>
      <c r="G135" s="3" t="s">
        <v>574</v>
      </c>
      <c r="I135" s="3" t="str">
        <f t="shared" si="6"/>
        <v xml:space="preserve">    ('INR', '3033', 'International Political Cultures', 3, 'This course will explore ways in which culture influences the nature of government, economic success or failure, and constructive and destructive modes of self and social identification.', 3000),</v>
      </c>
      <c r="K135" s="3" t="str">
        <f t="shared" si="7"/>
        <v xml:space="preserve">    @COURSE_INR_3033  INT,</v>
      </c>
      <c r="M135" s="3" t="str">
        <f t="shared" si="8"/>
        <v>SELECT @COURSE_INR_3033  = CourseID FROM Bellini.Course WHERE CoursePrefix = 'INR' AND CourseNumber = '3033';</v>
      </c>
      <c r="O135" s="3" t="s">
        <v>1023</v>
      </c>
    </row>
    <row r="136" spans="1:15" x14ac:dyDescent="0.3">
      <c r="A136" s="3" t="s">
        <v>293</v>
      </c>
      <c r="B136" s="3">
        <v>3011</v>
      </c>
      <c r="C136" s="3" t="s">
        <v>577</v>
      </c>
      <c r="D136" s="3">
        <v>3</v>
      </c>
      <c r="E136" s="3" t="s">
        <v>578</v>
      </c>
      <c r="G136" s="3" t="s">
        <v>579</v>
      </c>
      <c r="I136" s="3" t="str">
        <f t="shared" si="6"/>
        <v xml:space="preserve">    ('ISM', '3011', 'Information Systems in Organizations', 3, 'An introduction to the language, concepts, structures and processes involved in the management of information systems including fundamentals of computer-based technology and the use of businessbased software for support of managerial decisions.', 3000),</v>
      </c>
      <c r="K136" s="3" t="str">
        <f t="shared" si="7"/>
        <v xml:space="preserve">    @COURSE_ISM_3011  INT,</v>
      </c>
      <c r="M136" s="3" t="str">
        <f t="shared" si="8"/>
        <v>SELECT @COURSE_ISM_3011  = CourseID FROM Bellini.Course WHERE CoursePrefix = 'ISM' AND CourseNumber = '3011';</v>
      </c>
      <c r="O136" s="3" t="s">
        <v>1024</v>
      </c>
    </row>
    <row r="137" spans="1:15" x14ac:dyDescent="0.3">
      <c r="A137" s="3" t="s">
        <v>293</v>
      </c>
      <c r="B137" s="3" t="s">
        <v>294</v>
      </c>
      <c r="C137" s="3" t="s">
        <v>295</v>
      </c>
      <c r="D137" s="3">
        <v>3</v>
      </c>
      <c r="E137" s="3" t="s">
        <v>576</v>
      </c>
      <c r="G137" s="3" t="s">
        <v>575</v>
      </c>
      <c r="I137" s="3" t="str">
        <f t="shared" si="6"/>
        <v xml:space="preserve">    ('ISM', '4041', 'Global Cyber Ethics', 3, 'This course provides students an in-depth look at the social costs and moral problems that have arisen by the expanded use of the Internet, and offers up-todate legal and philosophical perspectives on the global scale for the business community.', 4000),</v>
      </c>
      <c r="K137" s="3" t="str">
        <f t="shared" si="7"/>
        <v xml:space="preserve">    @COURSE_ISM_4041  INT,</v>
      </c>
      <c r="M137" s="3" t="str">
        <f t="shared" si="8"/>
        <v>SELECT @COURSE_ISM_4041  = CourseID FROM Bellini.Course WHERE CoursePrefix = 'ISM' AND CourseNumber = '4041';</v>
      </c>
      <c r="O137" s="3" t="s">
        <v>1025</v>
      </c>
    </row>
    <row r="138" spans="1:15" x14ac:dyDescent="0.3">
      <c r="A138" s="3" t="s">
        <v>293</v>
      </c>
      <c r="B138" s="3" t="s">
        <v>105</v>
      </c>
      <c r="C138" s="3" t="s">
        <v>296</v>
      </c>
      <c r="D138" s="3">
        <v>3</v>
      </c>
      <c r="E138" s="3" t="s">
        <v>576</v>
      </c>
      <c r="G138" s="3" t="s">
        <v>582</v>
      </c>
      <c r="I138" s="3" t="str">
        <f t="shared" si="6"/>
        <v xml:space="preserve">    ('ISM', '4323', 'Information Security and IT Risk Management', 3, 'Senior standing, all majors. Introduction to information security and IT risk management in organizations. Covers essential IT general controls and frameworks to assess IT risk in a business environment.', 4000),</v>
      </c>
      <c r="K138" s="3" t="str">
        <f t="shared" si="7"/>
        <v xml:space="preserve">    @COURSE_ISM_4323  INT,</v>
      </c>
      <c r="M138" s="3" t="str">
        <f t="shared" si="8"/>
        <v>SELECT @COURSE_ISM_4323  = CourseID FROM Bellini.Course WHERE CoursePrefix = 'ISM' AND CourseNumber = '4323';</v>
      </c>
      <c r="O138" s="3" t="s">
        <v>1026</v>
      </c>
    </row>
    <row r="139" spans="1:15" x14ac:dyDescent="0.3">
      <c r="A139" s="3" t="s">
        <v>297</v>
      </c>
      <c r="B139" s="3" t="s">
        <v>298</v>
      </c>
      <c r="C139" s="3" t="s">
        <v>299</v>
      </c>
      <c r="D139" s="3">
        <v>3</v>
      </c>
      <c r="G139" s="3" t="s">
        <v>583</v>
      </c>
      <c r="I139" s="3" t="str">
        <f t="shared" si="6"/>
        <v xml:space="preserve">    ('LIS', '4414', 'Information Policy and Ethics', 3, 'Examines issues related to information and cybersecurity technology development and use in a global society. Topics include governmental regulations, policy and ethical perspectives related to information literacy, access, security and the digital divide.', 4000),</v>
      </c>
      <c r="K139" s="3" t="str">
        <f t="shared" si="7"/>
        <v xml:space="preserve">    @COURSE_LIS_4414  INT,</v>
      </c>
      <c r="M139" s="3" t="str">
        <f t="shared" si="8"/>
        <v>SELECT @COURSE_LIS_4414  = CourseID FROM Bellini.Course WHERE CoursePrefix = 'LIS' AND CourseNumber = '4414';</v>
      </c>
      <c r="O139" s="3" t="s">
        <v>1027</v>
      </c>
    </row>
    <row r="140" spans="1:15" x14ac:dyDescent="0.3">
      <c r="A140" s="3" t="s">
        <v>297</v>
      </c>
      <c r="B140" s="3" t="s">
        <v>300</v>
      </c>
      <c r="C140" s="3" t="s">
        <v>301</v>
      </c>
      <c r="D140" s="3">
        <v>3</v>
      </c>
      <c r="G140" s="3" t="s">
        <v>584</v>
      </c>
      <c r="I140" s="3" t="str">
        <f t="shared" si="6"/>
        <v xml:space="preserve">    ('LIS', '4779', 'Health Information Security', 3, 'Examines soft and technological threats to protected heath information and methods for reducing these threats with a focus on HIPAA compliance.', 4000),</v>
      </c>
      <c r="K140" s="3" t="str">
        <f t="shared" si="7"/>
        <v xml:space="preserve">    @COURSE_LIS_4779  INT,</v>
      </c>
      <c r="M140" s="3" t="str">
        <f t="shared" si="8"/>
        <v>SELECT @COURSE_LIS_4779  = CourseID FROM Bellini.Course WHERE CoursePrefix = 'LIS' AND CourseNumber = '4779';</v>
      </c>
      <c r="O140" s="3" t="s">
        <v>1028</v>
      </c>
    </row>
    <row r="141" spans="1:15" x14ac:dyDescent="0.3">
      <c r="A141" s="3" t="s">
        <v>344</v>
      </c>
      <c r="B141" s="3" t="s">
        <v>340</v>
      </c>
      <c r="C141" s="3" t="s">
        <v>345</v>
      </c>
      <c r="D141" s="3">
        <v>3</v>
      </c>
      <c r="G141" s="3" t="s">
        <v>585</v>
      </c>
      <c r="I141" s="3" t="str">
        <f t="shared" si="6"/>
        <v xml:space="preserve">    ('LIT', '2000', 'Introduction to Literature', 3, 'This course will introduce students to the three major literary forms of prose, poetry and drama as well as to various "schools" of literary criticism.', 2000),</v>
      </c>
      <c r="K141" s="3" t="str">
        <f t="shared" si="7"/>
        <v xml:space="preserve">    @COURSE_LIT_2000  INT,</v>
      </c>
      <c r="M141" s="3" t="str">
        <f t="shared" si="8"/>
        <v>SELECT @COURSE_LIT_2000  = CourseID FROM Bellini.Course WHERE CoursePrefix = 'LIT' AND CourseNumber = '2000';</v>
      </c>
      <c r="O141" s="3" t="s">
        <v>1029</v>
      </c>
    </row>
    <row r="142" spans="1:15" x14ac:dyDescent="0.3">
      <c r="A142" s="3" t="s">
        <v>302</v>
      </c>
      <c r="B142" s="3" t="s">
        <v>351</v>
      </c>
      <c r="C142" s="3" t="s">
        <v>352</v>
      </c>
      <c r="D142" s="3">
        <v>3</v>
      </c>
      <c r="E142" s="3" t="s">
        <v>587</v>
      </c>
      <c r="G142" s="3" t="s">
        <v>586</v>
      </c>
      <c r="I142" s="3" t="str">
        <f t="shared" si="6"/>
        <v xml:space="preserve">    ('MAC', '1105', 'College Algebra', 3, 'Concepts of the real number system, functions, graphs, and complex numbers. Analytic skills for solving linear, quadratic, polynomial, exponential, and logarithmic equations. Mathematical modeling of real life applications. College Algebra may be taken either for General Education credit or as preparation for a pre-calculus course.', 1000),</v>
      </c>
      <c r="K142" s="3" t="str">
        <f t="shared" si="7"/>
        <v xml:space="preserve">    @COURSE_MAC_1105  INT,</v>
      </c>
      <c r="M142" s="3" t="str">
        <f t="shared" si="8"/>
        <v>SELECT @COURSE_MAC_1105  = CourseID FROM Bellini.Course WHERE CoursePrefix = 'MAC' AND CourseNumber = '1105';</v>
      </c>
      <c r="O142" s="3" t="s">
        <v>1030</v>
      </c>
    </row>
    <row r="143" spans="1:15" x14ac:dyDescent="0.3">
      <c r="A143" s="3" t="s">
        <v>302</v>
      </c>
      <c r="B143" s="3" t="s">
        <v>303</v>
      </c>
      <c r="C143" s="3" t="s">
        <v>304</v>
      </c>
      <c r="D143" s="3">
        <v>4</v>
      </c>
      <c r="E143" s="3" t="s">
        <v>455</v>
      </c>
      <c r="G143" s="3" t="s">
        <v>589</v>
      </c>
      <c r="I143" s="3" t="str">
        <f t="shared" si="6"/>
        <v xml:space="preserve">    ('MAC', '1147', 'Precalculus Algebra and Trigonometry', 4, 'This is an accelerated combination of MAC 1140 and MAC 1114 ; this course is best for students who have already seen some trigonometry. See the descriptions of MAC 1140 and MAC 1114 .', 1000),</v>
      </c>
      <c r="K143" s="3" t="str">
        <f t="shared" si="7"/>
        <v xml:space="preserve">    @COURSE_MAC_1147  INT,</v>
      </c>
      <c r="M143" s="3" t="str">
        <f t="shared" si="8"/>
        <v>SELECT @COURSE_MAC_1147  = CourseID FROM Bellini.Course WHERE CoursePrefix = 'MAC' AND CourseNumber = '1147';</v>
      </c>
      <c r="O143" s="3" t="s">
        <v>1031</v>
      </c>
    </row>
    <row r="144" spans="1:15" x14ac:dyDescent="0.3">
      <c r="A144" s="3" t="s">
        <v>302</v>
      </c>
      <c r="B144" s="3" t="s">
        <v>305</v>
      </c>
      <c r="C144" s="3" t="s">
        <v>306</v>
      </c>
      <c r="D144" s="3">
        <v>4</v>
      </c>
      <c r="E144" s="3" t="s">
        <v>591</v>
      </c>
      <c r="G144" s="3" t="s">
        <v>590</v>
      </c>
      <c r="I144" s="3" t="str">
        <f t="shared" si="6"/>
        <v xml:space="preserve">    ('MAC', '2281', 'Engineering Calculus I', 4, 'Differentiation, limits, differentials, extremes, indefinite integral. No credit for mathematics majors.', 2000),</v>
      </c>
      <c r="K144" s="3" t="str">
        <f t="shared" si="7"/>
        <v xml:space="preserve">    @COURSE_MAC_2281  INT,</v>
      </c>
      <c r="M144" s="3" t="str">
        <f t="shared" si="8"/>
        <v>SELECT @COURSE_MAC_2281  = CourseID FROM Bellini.Course WHERE CoursePrefix = 'MAC' AND CourseNumber = '2281';</v>
      </c>
      <c r="O144" s="3" t="s">
        <v>1032</v>
      </c>
    </row>
    <row r="145" spans="1:15" x14ac:dyDescent="0.3">
      <c r="A145" s="3" t="s">
        <v>302</v>
      </c>
      <c r="B145" s="3" t="s">
        <v>307</v>
      </c>
      <c r="C145" s="3" t="s">
        <v>308</v>
      </c>
      <c r="D145" s="3">
        <v>4</v>
      </c>
      <c r="E145" s="3" t="s">
        <v>511</v>
      </c>
      <c r="G145" s="3" t="s">
        <v>592</v>
      </c>
      <c r="I145" s="3" t="str">
        <f t="shared" si="6"/>
        <v xml:space="preserve">    ('MAC', '2282', 'Engineering Calculus II', 4, 'Definite integral, trigonometric functions, log, exponential, series, applications.', 2000),</v>
      </c>
      <c r="K145" s="3" t="str">
        <f t="shared" si="7"/>
        <v xml:space="preserve">    @COURSE_MAC_2282  INT,</v>
      </c>
      <c r="M145" s="3" t="str">
        <f t="shared" si="8"/>
        <v>SELECT @COURSE_MAC_2282  = CourseID FROM Bellini.Course WHERE CoursePrefix = 'MAC' AND CourseNumber = '2282';</v>
      </c>
      <c r="O145" s="3" t="s">
        <v>1033</v>
      </c>
    </row>
    <row r="146" spans="1:15" x14ac:dyDescent="0.3">
      <c r="A146" s="3" t="s">
        <v>302</v>
      </c>
      <c r="B146" s="3" t="s">
        <v>309</v>
      </c>
      <c r="C146" s="3" t="s">
        <v>310</v>
      </c>
      <c r="D146" s="3">
        <v>4</v>
      </c>
      <c r="E146" s="3" t="s">
        <v>594</v>
      </c>
      <c r="G146" s="3" t="s">
        <v>593</v>
      </c>
      <c r="I146" s="3" t="str">
        <f t="shared" si="6"/>
        <v xml:space="preserve">    ('MAC', '2283', 'Engineering Calculus III', 4, 'Techniques of integration, numerical methods, analytic geometry, polar coordinates, Vector algebra, applications.', 2000),</v>
      </c>
      <c r="K146" s="3" t="str">
        <f t="shared" si="7"/>
        <v xml:space="preserve">    @COURSE_MAC_2283  INT,</v>
      </c>
      <c r="M146" s="3" t="str">
        <f t="shared" si="8"/>
        <v>SELECT @COURSE_MAC_2283  = CourseID FROM Bellini.Course WHERE CoursePrefix = 'MAC' AND CourseNumber = '2283';</v>
      </c>
      <c r="O146" s="3" t="s">
        <v>1034</v>
      </c>
    </row>
    <row r="147" spans="1:15" x14ac:dyDescent="0.3">
      <c r="A147" s="3" t="s">
        <v>302</v>
      </c>
      <c r="B147" s="3" t="s">
        <v>311</v>
      </c>
      <c r="C147" s="3" t="s">
        <v>312</v>
      </c>
      <c r="D147" s="3">
        <v>4</v>
      </c>
      <c r="E147" s="3" t="s">
        <v>591</v>
      </c>
      <c r="G147" s="3" t="s">
        <v>595</v>
      </c>
      <c r="I147" s="3" t="str">
        <f t="shared" si="6"/>
        <v xml:space="preserve">    ('MAC', '2311', 'Calculus I', 4, 'Differentiation, limits, differentials, extremes, indefinite integral.', 2000),</v>
      </c>
      <c r="K147" s="3" t="str">
        <f t="shared" si="7"/>
        <v xml:space="preserve">    @COURSE_MAC_2311  INT,</v>
      </c>
      <c r="M147" s="3" t="str">
        <f t="shared" si="8"/>
        <v>SELECT @COURSE_MAC_2311  = CourseID FROM Bellini.Course WHERE CoursePrefix = 'MAC' AND CourseNumber = '2311';</v>
      </c>
      <c r="O147" s="3" t="s">
        <v>1035</v>
      </c>
    </row>
    <row r="148" spans="1:15" x14ac:dyDescent="0.3">
      <c r="A148" s="3" t="s">
        <v>302</v>
      </c>
      <c r="B148" s="3" t="s">
        <v>313</v>
      </c>
      <c r="C148" s="3" t="s">
        <v>314</v>
      </c>
      <c r="D148" s="3">
        <v>4</v>
      </c>
      <c r="E148" s="3" t="s">
        <v>599</v>
      </c>
      <c r="G148" s="3" t="s">
        <v>596</v>
      </c>
      <c r="I148" s="3" t="str">
        <f t="shared" si="6"/>
        <v xml:space="preserve">    ('MAC', '2312', 'Calculus II', 4, 'Antiderivatives, the definite integral, applications, series, log, exponential and trig functions.', 2000),</v>
      </c>
      <c r="K148" s="3" t="str">
        <f t="shared" si="7"/>
        <v xml:space="preserve">    @COURSE_MAC_2312  INT,</v>
      </c>
      <c r="M148" s="3" t="str">
        <f t="shared" si="8"/>
        <v>SELECT @COURSE_MAC_2312  = CourseID FROM Bellini.Course WHERE CoursePrefix = 'MAC' AND CourseNumber = '2312';</v>
      </c>
      <c r="O148" s="3" t="s">
        <v>1036</v>
      </c>
    </row>
    <row r="149" spans="1:15" x14ac:dyDescent="0.3">
      <c r="A149" s="3" t="s">
        <v>302</v>
      </c>
      <c r="B149" s="3" t="s">
        <v>315</v>
      </c>
      <c r="C149" s="3" t="s">
        <v>316</v>
      </c>
      <c r="D149" s="3">
        <v>4</v>
      </c>
      <c r="E149" s="3" t="s">
        <v>598</v>
      </c>
      <c r="G149" s="3" t="s">
        <v>597</v>
      </c>
      <c r="I149" s="3" t="str">
        <f t="shared" si="6"/>
        <v xml:space="preserve">    ('MAC', '2313', 'Calculus III', 4, 'Integration, polar coordinates, conic sections, vectors, indeterminate forms and proper integrals.', 2000),</v>
      </c>
      <c r="K149" s="3" t="str">
        <f t="shared" si="7"/>
        <v xml:space="preserve">    @COURSE_MAC_2313  INT,</v>
      </c>
      <c r="M149" s="3" t="str">
        <f t="shared" si="8"/>
        <v>SELECT @COURSE_MAC_2313  = CourseID FROM Bellini.Course WHERE CoursePrefix = 'MAC' AND CourseNumber = '2313';</v>
      </c>
      <c r="O149" s="3" t="s">
        <v>1037</v>
      </c>
    </row>
    <row r="150" spans="1:15" x14ac:dyDescent="0.3">
      <c r="A150" s="3" t="s">
        <v>317</v>
      </c>
      <c r="B150" s="3" t="s">
        <v>318</v>
      </c>
      <c r="C150" s="3" t="s">
        <v>319</v>
      </c>
      <c r="D150" s="3">
        <v>3</v>
      </c>
      <c r="G150" s="3" t="s">
        <v>600</v>
      </c>
      <c r="I150" s="3" t="str">
        <f t="shared" si="6"/>
        <v xml:space="preserve">    ('MAD', '2104', 'Discrete Mathematics', 3, 'This course covers set theory, logic, proofs, counting techniques, and graph theory.', 2000),</v>
      </c>
      <c r="K150" s="3" t="str">
        <f t="shared" si="7"/>
        <v xml:space="preserve">    @COURSE_MAD_2104  INT,</v>
      </c>
      <c r="M150" s="3" t="str">
        <f t="shared" si="8"/>
        <v>SELECT @COURSE_MAD_2104  = CourseID FROM Bellini.Course WHERE CoursePrefix = 'MAD' AND CourseNumber = '2104';</v>
      </c>
      <c r="O150" s="3" t="s">
        <v>1038</v>
      </c>
    </row>
    <row r="151" spans="1:15" x14ac:dyDescent="0.3">
      <c r="A151" s="3" t="s">
        <v>320</v>
      </c>
      <c r="B151" s="3" t="s">
        <v>321</v>
      </c>
      <c r="C151" s="3" t="s">
        <v>322</v>
      </c>
      <c r="D151" s="3">
        <v>3</v>
      </c>
      <c r="E151" s="3" t="s">
        <v>602</v>
      </c>
      <c r="G151" s="3" t="s">
        <v>601</v>
      </c>
      <c r="I151" s="3" t="str">
        <f t="shared" si="6"/>
        <v xml:space="preserve">    ('MAP', '2302', 'Differential Equations', 3, 'First order linear and nonlinear differential equations, higher order linear equations, applications.', 2000),</v>
      </c>
      <c r="K151" s="3" t="str">
        <f t="shared" si="7"/>
        <v xml:space="preserve">    @COURSE_MAP_2302  INT,</v>
      </c>
      <c r="M151" s="3" t="str">
        <f t="shared" si="8"/>
        <v>SELECT @COURSE_MAP_2302  = CourseID FROM Bellini.Course WHERE CoursePrefix = 'MAP' AND CourseNumber = '2302';</v>
      </c>
      <c r="O151" s="3" t="s">
        <v>1039</v>
      </c>
    </row>
    <row r="152" spans="1:15" x14ac:dyDescent="0.3">
      <c r="A152" s="3" t="s">
        <v>588</v>
      </c>
      <c r="B152" s="3">
        <v>1033</v>
      </c>
      <c r="C152" s="3" t="s">
        <v>603</v>
      </c>
      <c r="D152" s="3">
        <v>3</v>
      </c>
      <c r="G152" s="3" t="s">
        <v>604</v>
      </c>
      <c r="I152" s="3" t="str">
        <f t="shared" si="6"/>
        <v xml:space="preserve">    ('MAT', '1033', 'Intermediate Algebra', 3, 'This course provides students with an opportunity to develop algebraic knowledge needed for further study in several fields such as engineering, business, science, computer technology, and mathematics.', 1000),</v>
      </c>
      <c r="K152" s="3" t="str">
        <f t="shared" si="7"/>
        <v xml:space="preserve">    @COURSE_MAT_1033  INT,</v>
      </c>
      <c r="M152" s="3" t="str">
        <f t="shared" si="8"/>
        <v>SELECT @COURSE_MAT_1033  = CourseID FROM Bellini.Course WHERE CoursePrefix = 'MAT' AND CourseNumber = '1033';</v>
      </c>
      <c r="O152" s="3" t="s">
        <v>1040</v>
      </c>
    </row>
    <row r="153" spans="1:15" x14ac:dyDescent="0.3">
      <c r="A153" s="3" t="s">
        <v>353</v>
      </c>
      <c r="B153" s="3" t="s">
        <v>354</v>
      </c>
      <c r="C153" s="3" t="s">
        <v>24</v>
      </c>
      <c r="D153" s="3">
        <v>3</v>
      </c>
      <c r="G153" s="3" t="s">
        <v>605</v>
      </c>
      <c r="I153" s="3" t="str">
        <f t="shared" si="6"/>
        <v xml:space="preserve">    ('MGF', '1106', 'Finite Mathematics', 3, 'Concepts and analytical skills in areas of logic, linear equations, linear programming, mathematics of finance, permutations and combinations, probability, and descriptive statistics.', 1000),</v>
      </c>
      <c r="K153" s="3" t="str">
        <f t="shared" si="7"/>
        <v xml:space="preserve">    @COURSE_MGF_1106  INT,</v>
      </c>
      <c r="M153" s="3" t="str">
        <f t="shared" si="8"/>
        <v>SELECT @COURSE_MGF_1106  = CourseID FROM Bellini.Course WHERE CoursePrefix = 'MGF' AND CourseNumber = '1106';</v>
      </c>
      <c r="O153" s="3" t="s">
        <v>1041</v>
      </c>
    </row>
    <row r="154" spans="1:15" x14ac:dyDescent="0.3">
      <c r="A154" s="3" t="s">
        <v>353</v>
      </c>
      <c r="B154" s="3" t="s">
        <v>355</v>
      </c>
      <c r="C154" s="3" t="s">
        <v>25</v>
      </c>
      <c r="D154" s="3">
        <v>3</v>
      </c>
      <c r="G154" s="3" t="s">
        <v>606</v>
      </c>
      <c r="I154" s="3" t="str">
        <f t="shared" si="6"/>
        <v xml:space="preserve">    ('MGF', '1107', 'Mathematics for Liberal Arts', 3, 'This terminal course is intended to present topics which demonstrate the beauty and utility of mathematics to the general student population. Among the topics which might be included are: Financial Mathematics, Linear and Exponential Growth, Numbers and Number Systems, Elementary Number Theory, Voting Techniques, Graph Theory, and the History of Mathematics.', 1000),</v>
      </c>
      <c r="K154" s="3" t="str">
        <f t="shared" si="7"/>
        <v xml:space="preserve">    @COURSE_MGF_1107  INT,</v>
      </c>
      <c r="M154" s="3" t="str">
        <f t="shared" si="8"/>
        <v>SELECT @COURSE_MGF_1107  = CourseID FROM Bellini.Course WHERE CoursePrefix = 'MGF' AND CourseNumber = '1107';</v>
      </c>
      <c r="O154" s="3" t="s">
        <v>1042</v>
      </c>
    </row>
    <row r="155" spans="1:15" x14ac:dyDescent="0.3">
      <c r="A155" s="3" t="s">
        <v>346</v>
      </c>
      <c r="B155" s="3" t="s">
        <v>347</v>
      </c>
      <c r="C155" s="3" t="s">
        <v>26</v>
      </c>
      <c r="D155" s="3">
        <v>3</v>
      </c>
      <c r="G155" s="3" t="s">
        <v>607</v>
      </c>
      <c r="I155" s="3" t="str">
        <f t="shared" si="6"/>
        <v xml:space="preserve">    ('MUL', '2010', 'Music and Culture', 3, 'This course is intended to expose students to a variety of music and musical experiences through lecture, discussion, and direct experience involving critical listening. Students will enhance their awareness of the various elements, origins, and developments in music, as well as enrich critical thinking skills related to evaluating music. Students will prepare critiques of music performances in writing. By the end of the course, the student should have the background for appreciating the major genres of music, as well as having an enhanced ability to appreciate the various primary elements of any musical creation and /or performance.', 2000),</v>
      </c>
      <c r="K155" s="3" t="str">
        <f t="shared" si="7"/>
        <v xml:space="preserve">    @COURSE_MUL_2010  INT,</v>
      </c>
      <c r="M155" s="3" t="str">
        <f t="shared" si="8"/>
        <v>SELECT @COURSE_MUL_2010  = CourseID FROM Bellini.Course WHERE CoursePrefix = 'MUL' AND CourseNumber = '2010';</v>
      </c>
      <c r="O155" s="3" t="s">
        <v>1043</v>
      </c>
    </row>
    <row r="156" spans="1:15" x14ac:dyDescent="0.3">
      <c r="A156" s="3" t="s">
        <v>348</v>
      </c>
      <c r="B156" s="3" t="s">
        <v>347</v>
      </c>
      <c r="C156" s="3" t="s">
        <v>349</v>
      </c>
      <c r="D156" s="3">
        <v>3</v>
      </c>
      <c r="G156" s="3" t="s">
        <v>608</v>
      </c>
      <c r="I156" s="3" t="str">
        <f t="shared" si="6"/>
        <v xml:space="preserve">    ('PHI', '2010', 'Introduction to Philosophy', 3, 'An introduction to several major themes in philosophy, as well as central philosophical concepts, texts, and methods.', 2000),</v>
      </c>
      <c r="K156" s="3" t="str">
        <f t="shared" si="7"/>
        <v xml:space="preserve">    @COURSE_PHI_2010  INT,</v>
      </c>
      <c r="M156" s="3" t="str">
        <f t="shared" si="8"/>
        <v>SELECT @COURSE_PHI_2010  = CourseID FROM Bellini.Course WHERE CoursePrefix = 'PHI' AND CourseNumber = '2010';</v>
      </c>
      <c r="O156" s="3" t="s">
        <v>1044</v>
      </c>
    </row>
    <row r="157" spans="1:15" x14ac:dyDescent="0.3">
      <c r="A157" s="3" t="s">
        <v>323</v>
      </c>
      <c r="B157" s="3" t="s">
        <v>324</v>
      </c>
      <c r="C157" s="3" t="s">
        <v>29</v>
      </c>
      <c r="D157" s="3">
        <v>3</v>
      </c>
      <c r="G157" s="3" t="s">
        <v>609</v>
      </c>
      <c r="I157" s="3" t="str">
        <f t="shared" si="6"/>
        <v xml:space="preserve">    ('PHY', '2020', 'Conceptual Physics', 3, 'A qualitative investigation of physics concepts. Emphasis is placed on using physics to describe how common things work. No previous physics knowledge required.', 2000),</v>
      </c>
      <c r="K157" s="3" t="str">
        <f t="shared" si="7"/>
        <v xml:space="preserve">    @COURSE_PHY_2020  INT,</v>
      </c>
      <c r="M157" s="3" t="str">
        <f t="shared" si="8"/>
        <v>SELECT @COURSE_PHY_2020  = CourseID FROM Bellini.Course WHERE CoursePrefix = 'PHY' AND CourseNumber = '2020';</v>
      </c>
      <c r="O157" s="3" t="s">
        <v>1045</v>
      </c>
    </row>
    <row r="158" spans="1:15" x14ac:dyDescent="0.3">
      <c r="A158" s="3" t="s">
        <v>323</v>
      </c>
      <c r="B158" s="3" t="s">
        <v>325</v>
      </c>
      <c r="C158" s="3" t="s">
        <v>326</v>
      </c>
      <c r="D158" s="3">
        <v>3</v>
      </c>
      <c r="E158" s="3" t="s">
        <v>511</v>
      </c>
      <c r="F158" s="3" t="s">
        <v>611</v>
      </c>
      <c r="G158" s="3" t="s">
        <v>610</v>
      </c>
      <c r="I158" s="3" t="str">
        <f t="shared" si="6"/>
        <v xml:space="preserve">    ('PHY', '2048', 'General Physics I - Calculus Based', 3, 'First semester of a two-semester sequence of calculus-based General Physics which includes a study of mechanics, wave motion, sound, thermodynamics, geometrical and physical optics, electricity and magnetism for students majoring in Physics, Chemistry and Engineering.', 2000),</v>
      </c>
      <c r="K158" s="3" t="str">
        <f t="shared" si="7"/>
        <v xml:space="preserve">    @COURSE_PHY_2048  INT,</v>
      </c>
      <c r="M158" s="3" t="str">
        <f t="shared" si="8"/>
        <v>SELECT @COURSE_PHY_2048  = CourseID FROM Bellini.Course WHERE CoursePrefix = 'PHY' AND CourseNumber = '2048';</v>
      </c>
      <c r="O158" s="3" t="s">
        <v>1046</v>
      </c>
    </row>
    <row r="159" spans="1:15" x14ac:dyDescent="0.3">
      <c r="A159" s="3" t="s">
        <v>323</v>
      </c>
      <c r="B159" s="3" t="s">
        <v>327</v>
      </c>
      <c r="C159" s="3" t="s">
        <v>328</v>
      </c>
      <c r="D159" s="3">
        <v>1</v>
      </c>
      <c r="E159" s="3" t="s">
        <v>511</v>
      </c>
      <c r="F159" s="3" t="s">
        <v>615</v>
      </c>
      <c r="G159" s="3" t="s">
        <v>614</v>
      </c>
      <c r="I159" s="3" t="str">
        <f t="shared" si="6"/>
        <v xml:space="preserve">    ('PHY', '2048L', 'General Physics I Laboratory ', 1, 'First semester of a two-semester sequence of general physics (mechanics, wave motion, sound, thermodynamics, geometrical and physical optics, electricity, and magnetism) and laboratory for physics majors and engineering students.', 2000),</v>
      </c>
      <c r="K159" s="3" t="str">
        <f t="shared" si="7"/>
        <v xml:space="preserve">    @COURSE_PHY_2048L INT,</v>
      </c>
      <c r="M159" s="3" t="str">
        <f t="shared" si="8"/>
        <v>SELECT @COURSE_PHY_2048L = CourseID FROM Bellini.Course WHERE CoursePrefix = 'PHY' AND CourseNumber = '2048L';</v>
      </c>
      <c r="O159" s="3" t="s">
        <v>899</v>
      </c>
    </row>
    <row r="160" spans="1:15" x14ac:dyDescent="0.3">
      <c r="A160" s="3" t="s">
        <v>323</v>
      </c>
      <c r="B160" s="3" t="s">
        <v>329</v>
      </c>
      <c r="C160" s="3" t="s">
        <v>330</v>
      </c>
      <c r="D160" s="3">
        <v>3</v>
      </c>
      <c r="E160" s="3" t="s">
        <v>619</v>
      </c>
      <c r="F160" s="3" t="s">
        <v>612</v>
      </c>
      <c r="G160" s="3" t="s">
        <v>618</v>
      </c>
      <c r="I160" s="3" t="str">
        <f t="shared" si="6"/>
        <v xml:space="preserve">    ('PHY', '2049', 'General Physics II - Calculus Based', 3, 'Second semester of calculus based general physics. Topics studied include wave mechanics, electricity and magnetism, and optics.', 2000),</v>
      </c>
      <c r="K160" s="3" t="str">
        <f t="shared" si="7"/>
        <v xml:space="preserve">    @COURSE_PHY_2049  INT,</v>
      </c>
      <c r="M160" s="3" t="str">
        <f t="shared" si="8"/>
        <v>SELECT @COURSE_PHY_2049  = CourseID FROM Bellini.Course WHERE CoursePrefix = 'PHY' AND CourseNumber = '2049';</v>
      </c>
      <c r="O160" s="3" t="s">
        <v>1047</v>
      </c>
    </row>
    <row r="161" spans="1:15" x14ac:dyDescent="0.3">
      <c r="A161" s="3" t="s">
        <v>323</v>
      </c>
      <c r="B161" s="3" t="s">
        <v>331</v>
      </c>
      <c r="C161" s="3" t="s">
        <v>332</v>
      </c>
      <c r="D161" s="3">
        <v>1</v>
      </c>
      <c r="E161" s="3" t="s">
        <v>619</v>
      </c>
      <c r="F161" s="3" t="s">
        <v>616</v>
      </c>
      <c r="G161" s="3" t="s">
        <v>620</v>
      </c>
      <c r="I161" s="3" t="str">
        <f t="shared" si="6"/>
        <v xml:space="preserve">    ('PHY', '2049L', 'General Physics II Laboratory ', 1, 'Second semester of general physics and laboratory for physics majors and engineering students.', 2000),</v>
      </c>
      <c r="K161" s="3" t="str">
        <f t="shared" si="7"/>
        <v xml:space="preserve">    @COURSE_PHY_2049L INT,</v>
      </c>
      <c r="M161" s="3" t="str">
        <f t="shared" si="8"/>
        <v>SELECT @COURSE_PHY_2049L = CourseID FROM Bellini.Course WHERE CoursePrefix = 'PHY' AND CourseNumber = '2049L';</v>
      </c>
      <c r="O161" s="3" t="s">
        <v>900</v>
      </c>
    </row>
    <row r="162" spans="1:15" x14ac:dyDescent="0.3">
      <c r="A162" s="3" t="s">
        <v>323</v>
      </c>
      <c r="B162" s="3" t="s">
        <v>367</v>
      </c>
      <c r="C162" s="3" t="s">
        <v>368</v>
      </c>
      <c r="D162" s="3">
        <v>3</v>
      </c>
      <c r="E162" s="3" t="s">
        <v>622</v>
      </c>
      <c r="F162" s="3" t="s">
        <v>613</v>
      </c>
      <c r="G162" s="3" t="s">
        <v>621</v>
      </c>
      <c r="I162" s="3" t="str">
        <f t="shared" si="6"/>
        <v xml:space="preserve">    ('PHY', '2053', 'General Physics I', 3, 'First semester of a two semester sequence of noncalculus-based general physics (mechanics, heat, wave motion, sound, electricity, magnetism, optics, modern physics) for science students.', 2000),</v>
      </c>
      <c r="K162" s="3" t="str">
        <f t="shared" si="7"/>
        <v xml:space="preserve">    @COURSE_PHY_2053  INT,</v>
      </c>
      <c r="M162" s="3" t="str">
        <f t="shared" si="8"/>
        <v>SELECT @COURSE_PHY_2053  = CourseID FROM Bellini.Course WHERE CoursePrefix = 'PHY' AND CourseNumber = '2053';</v>
      </c>
      <c r="O162" s="3" t="s">
        <v>1048</v>
      </c>
    </row>
    <row r="163" spans="1:15" x14ac:dyDescent="0.3">
      <c r="A163" s="3" t="s">
        <v>323</v>
      </c>
      <c r="B163" s="3" t="s">
        <v>623</v>
      </c>
      <c r="C163" s="3" t="s">
        <v>328</v>
      </c>
      <c r="D163" s="3">
        <v>1</v>
      </c>
      <c r="F163" s="3" t="s">
        <v>617</v>
      </c>
      <c r="G163" s="3" t="s">
        <v>624</v>
      </c>
      <c r="I163" s="3" t="str">
        <f t="shared" si="6"/>
        <v xml:space="preserve">    ('PHY', '2053L', 'General Physics I Laboratory ', 1, 'First semester of a two semester sequence of general physics (mechanics, heat, wave motion, sound, electricity, magnetism, optics, modern physics) laboratory for science students.', 2000),</v>
      </c>
      <c r="K163" s="3" t="str">
        <f t="shared" si="7"/>
        <v xml:space="preserve">    @COURSE_PHY_2053L INT,</v>
      </c>
      <c r="M163" s="3" t="str">
        <f t="shared" si="8"/>
        <v>SELECT @COURSE_PHY_2053L = CourseID FROM Bellini.Course WHERE CoursePrefix = 'PHY' AND CourseNumber = '2053L';</v>
      </c>
      <c r="O163" s="3" t="s">
        <v>901</v>
      </c>
    </row>
    <row r="164" spans="1:15" x14ac:dyDescent="0.3">
      <c r="A164" s="3" t="s">
        <v>323</v>
      </c>
      <c r="B164" s="3">
        <v>2060</v>
      </c>
      <c r="C164" s="3" t="s">
        <v>625</v>
      </c>
      <c r="D164" s="3">
        <v>3</v>
      </c>
      <c r="E164" s="3" t="s">
        <v>599</v>
      </c>
      <c r="F164" s="3" t="s">
        <v>611</v>
      </c>
      <c r="G164" s="3" t="s">
        <v>626</v>
      </c>
      <c r="I164" s="3" t="str">
        <f t="shared" si="6"/>
        <v xml:space="preserve">    ('PHY', '2060', 'Enriched General Physics I with Calculus', 3, 'First semester of an enriched sequence of calculus based general physics designed for physics majors and other students seeking a deeper understanding of mechanics, kinematics, conservation laws, central forces, harmonic motion, and mechanical waves.', 2000),</v>
      </c>
      <c r="K164" s="3" t="str">
        <f t="shared" si="7"/>
        <v xml:space="preserve">    @COURSE_PHY_2060  INT,</v>
      </c>
      <c r="M164" s="3" t="str">
        <f t="shared" si="8"/>
        <v>SELECT @COURSE_PHY_2060  = CourseID FROM Bellini.Course WHERE CoursePrefix = 'PHY' AND CourseNumber = '2060';</v>
      </c>
      <c r="O164" s="3" t="s">
        <v>1049</v>
      </c>
    </row>
    <row r="165" spans="1:15" x14ac:dyDescent="0.3">
      <c r="A165" s="3" t="s">
        <v>372</v>
      </c>
      <c r="B165" s="3" t="s">
        <v>373</v>
      </c>
      <c r="C165" s="3" t="s">
        <v>32</v>
      </c>
      <c r="D165" s="3">
        <v>3</v>
      </c>
      <c r="G165" s="3" t="s">
        <v>627</v>
      </c>
      <c r="I165" s="3" t="str">
        <f t="shared" si="6"/>
        <v xml:space="preserve">    ('POS', '2041', 'American National Government', 3, 'This course is intended to introduce students to the theory, institutions, and processes of American government and politics. In addition to learning fundamental information about the American political system, this course is designed to help students think critically about American government and politics.', 2000),</v>
      </c>
      <c r="K165" s="3" t="str">
        <f t="shared" si="7"/>
        <v xml:space="preserve">    @COURSE_POS_2041  INT,</v>
      </c>
      <c r="M165" s="3" t="str">
        <f t="shared" si="8"/>
        <v>SELECT @COURSE_POS_2041  = CourseID FROM Bellini.Course WHERE CoursePrefix = 'POS' AND CourseNumber = '2041';</v>
      </c>
      <c r="O165" s="3" t="s">
        <v>1050</v>
      </c>
    </row>
    <row r="166" spans="1:15" x14ac:dyDescent="0.3">
      <c r="A166" s="3" t="s">
        <v>333</v>
      </c>
      <c r="B166" s="3" t="s">
        <v>334</v>
      </c>
      <c r="C166" s="3" t="s">
        <v>335</v>
      </c>
      <c r="D166" s="3">
        <v>3</v>
      </c>
      <c r="G166" s="3" t="s">
        <v>628</v>
      </c>
      <c r="I166" s="3" t="str">
        <f t="shared" si="6"/>
        <v xml:space="preserve">    ('PSY', '2012', 'Introduction to Psychological Science', 3, 'This course is an introduction to psychology for majors and nonmajors. It presents psychological theory and methods in a survey of various areas of psychology including clinical, cognitive, developmental, health, industrial, social and biopsychology.', 2000),</v>
      </c>
      <c r="K166" s="3" t="str">
        <f t="shared" si="7"/>
        <v xml:space="preserve">    @COURSE_PSY_2012  INT,</v>
      </c>
      <c r="M166" s="3" t="str">
        <f t="shared" si="8"/>
        <v>SELECT @COURSE_PSY_2012  = CourseID FROM Bellini.Course WHERE CoursePrefix = 'PSY' AND CourseNumber = '2012';</v>
      </c>
      <c r="O166" s="3" t="s">
        <v>1051</v>
      </c>
    </row>
    <row r="167" spans="1:15" x14ac:dyDescent="0.3">
      <c r="A167" s="3" t="s">
        <v>336</v>
      </c>
      <c r="B167" s="3" t="s">
        <v>337</v>
      </c>
      <c r="C167" s="3" t="s">
        <v>338</v>
      </c>
      <c r="D167" s="3">
        <v>3</v>
      </c>
      <c r="E167" s="3" t="s">
        <v>587</v>
      </c>
      <c r="G167" s="3" t="s">
        <v>629</v>
      </c>
      <c r="I167" s="3" t="str">
        <f t="shared" si="6"/>
        <v xml:space="preserve">    ('STA', '2023', 'Introductory Statistics I', 3, 'Descriptive and Inferential Statistics; Principles of Probability Theory, Discrete and Continuous Probability Distributions: Binomial Probability Distribution, Poisson Probability Distribution, Uniform Probability Distribution, Normal Dist and more.', 2000),</v>
      </c>
      <c r="K167" s="3" t="str">
        <f t="shared" si="7"/>
        <v xml:space="preserve">    @COURSE_STA_2023  INT,</v>
      </c>
      <c r="M167" s="3" t="str">
        <f t="shared" si="8"/>
        <v>SELECT @COURSE_STA_2023  = CourseID FROM Bellini.Course WHERE CoursePrefix = 'STA' AND CourseNumber = '2023';</v>
      </c>
      <c r="O167" s="3" t="s">
        <v>1052</v>
      </c>
    </row>
    <row r="168" spans="1:15" x14ac:dyDescent="0.3">
      <c r="A168" s="3" t="s">
        <v>374</v>
      </c>
      <c r="B168" s="3" t="s">
        <v>340</v>
      </c>
      <c r="C168" s="3" t="s">
        <v>375</v>
      </c>
      <c r="D168" s="3">
        <v>3</v>
      </c>
      <c r="G168" s="3" t="s">
        <v>630</v>
      </c>
      <c r="I168" s="3" t="str">
        <f t="shared" si="6"/>
        <v xml:space="preserve">    ('SYG', '2000', 'Principles of Sociology', 3, 'This course introduces undergraduate students to the discipline of sociology. During the semester, we will analyze sociological theories, core concepts, and issues through readings, lectures, discussions, films, and hands-on research assignments.', 2000),</v>
      </c>
      <c r="K168" s="3" t="str">
        <f t="shared" si="7"/>
        <v xml:space="preserve">    @COURSE_SYG_2000  INT,</v>
      </c>
      <c r="M168" s="3" t="str">
        <f t="shared" si="8"/>
        <v>SELECT @COURSE_SYG_2000  = CourseID FROM Bellini.Course WHERE CoursePrefix = 'SYG' AND CourseNumber = '2000';</v>
      </c>
      <c r="O168" s="3" t="s">
        <v>1053</v>
      </c>
    </row>
    <row r="169" spans="1:15" x14ac:dyDescent="0.3">
      <c r="A169" s="3" t="s">
        <v>350</v>
      </c>
      <c r="B169" s="3" t="s">
        <v>340</v>
      </c>
      <c r="C169" s="3" t="s">
        <v>37</v>
      </c>
      <c r="D169" s="3">
        <v>3</v>
      </c>
      <c r="G169" s="3" t="s">
        <v>631</v>
      </c>
      <c r="I169" s="3" t="str">
        <f t="shared" si="6"/>
        <v xml:space="preserve">    ('THE', '2000', 'Theater and Culture', 3, 'This course explores the contributions of theater practitioners and audiences to the performance experience, aspects of theater making and an overview of theater history.', 2000),</v>
      </c>
      <c r="K169" s="3" t="str">
        <f t="shared" si="7"/>
        <v xml:space="preserve">    @COURSE_THE_2000  INT,</v>
      </c>
      <c r="M169" s="3" t="str">
        <f t="shared" si="8"/>
        <v>SELECT @COURSE_THE_2000  = CourseID FROM Bellini.Course WHERE CoursePrefix = 'THE' AND CourseNumber = '2000';</v>
      </c>
      <c r="O169" s="3" t="s">
        <v>1054</v>
      </c>
    </row>
  </sheetData>
  <sortState xmlns:xlrd2="http://schemas.microsoft.com/office/spreadsheetml/2017/richdata2" ref="A3:D169">
    <sortCondition ref="A3:A169"/>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BE203-EDCE-4D4F-AD1D-BD12B7C89990}">
  <dimension ref="A1:B33"/>
  <sheetViews>
    <sheetView topLeftCell="A13" workbookViewId="0">
      <selection activeCell="B16" sqref="B16:B26"/>
    </sheetView>
  </sheetViews>
  <sheetFormatPr defaultRowHeight="14.4" x14ac:dyDescent="0.3"/>
  <cols>
    <col min="1" max="1" width="47.5546875" bestFit="1" customWidth="1"/>
    <col min="2" max="2" width="39.77734375" bestFit="1" customWidth="1"/>
  </cols>
  <sheetData>
    <row r="1" spans="1:2" x14ac:dyDescent="0.3">
      <c r="A1" t="s">
        <v>6</v>
      </c>
      <c r="B1" t="s">
        <v>17</v>
      </c>
    </row>
    <row r="3" spans="1:2" x14ac:dyDescent="0.3">
      <c r="A3" t="s">
        <v>7</v>
      </c>
      <c r="B3" t="s">
        <v>42</v>
      </c>
    </row>
    <row r="4" spans="1:2" x14ac:dyDescent="0.3">
      <c r="B4" t="s">
        <v>20</v>
      </c>
    </row>
    <row r="5" spans="1:2" x14ac:dyDescent="0.3">
      <c r="B5" t="s">
        <v>21</v>
      </c>
    </row>
    <row r="6" spans="1:2" x14ac:dyDescent="0.3">
      <c r="B6" t="s">
        <v>43</v>
      </c>
    </row>
    <row r="7" spans="1:2" x14ac:dyDescent="0.3">
      <c r="B7" t="s">
        <v>27</v>
      </c>
    </row>
    <row r="8" spans="1:2" x14ac:dyDescent="0.3">
      <c r="B8" t="s">
        <v>44</v>
      </c>
    </row>
    <row r="10" spans="1:2" x14ac:dyDescent="0.3">
      <c r="A10" t="s">
        <v>8</v>
      </c>
      <c r="B10" t="s">
        <v>22</v>
      </c>
    </row>
    <row r="11" spans="1:2" x14ac:dyDescent="0.3">
      <c r="B11" t="s">
        <v>23</v>
      </c>
    </row>
    <row r="12" spans="1:2" x14ac:dyDescent="0.3">
      <c r="B12" t="s">
        <v>45</v>
      </c>
    </row>
    <row r="13" spans="1:2" x14ac:dyDescent="0.3">
      <c r="B13" t="s">
        <v>46</v>
      </c>
    </row>
    <row r="14" spans="1:2" x14ac:dyDescent="0.3">
      <c r="B14" t="s">
        <v>35</v>
      </c>
    </row>
    <row r="16" spans="1:2" x14ac:dyDescent="0.3">
      <c r="A16" t="s">
        <v>1</v>
      </c>
      <c r="B16" t="s">
        <v>12</v>
      </c>
    </row>
    <row r="17" spans="1:2" x14ac:dyDescent="0.3">
      <c r="B17" t="s">
        <v>13</v>
      </c>
    </row>
    <row r="18" spans="1:2" x14ac:dyDescent="0.3">
      <c r="B18" t="s">
        <v>47</v>
      </c>
    </row>
    <row r="19" spans="1:2" x14ac:dyDescent="0.3">
      <c r="B19" t="s">
        <v>48</v>
      </c>
    </row>
    <row r="20" spans="1:2" x14ac:dyDescent="0.3">
      <c r="B20" t="s">
        <v>14</v>
      </c>
    </row>
    <row r="21" spans="1:2" x14ac:dyDescent="0.3">
      <c r="B21" t="s">
        <v>15</v>
      </c>
    </row>
    <row r="22" spans="1:2" x14ac:dyDescent="0.3">
      <c r="B22" t="s">
        <v>18</v>
      </c>
    </row>
    <row r="23" spans="1:2" x14ac:dyDescent="0.3">
      <c r="B23" t="s">
        <v>19</v>
      </c>
    </row>
    <row r="24" spans="1:2" x14ac:dyDescent="0.3">
      <c r="B24" t="s">
        <v>28</v>
      </c>
    </row>
    <row r="25" spans="1:2" x14ac:dyDescent="0.3">
      <c r="B25" t="s">
        <v>30</v>
      </c>
    </row>
    <row r="26" spans="1:2" x14ac:dyDescent="0.3">
      <c r="B26" t="s">
        <v>31</v>
      </c>
    </row>
    <row r="28" spans="1:2" x14ac:dyDescent="0.3">
      <c r="A28" t="s">
        <v>9</v>
      </c>
      <c r="B28" t="s">
        <v>40</v>
      </c>
    </row>
    <row r="29" spans="1:2" x14ac:dyDescent="0.3">
      <c r="B29" t="s">
        <v>11</v>
      </c>
    </row>
    <row r="30" spans="1:2" x14ac:dyDescent="0.3">
      <c r="B30" t="s">
        <v>16</v>
      </c>
    </row>
    <row r="31" spans="1:2" x14ac:dyDescent="0.3">
      <c r="B31" t="s">
        <v>33</v>
      </c>
    </row>
    <row r="32" spans="1:2" x14ac:dyDescent="0.3">
      <c r="B32" t="s">
        <v>34</v>
      </c>
    </row>
    <row r="33" spans="2:2" x14ac:dyDescent="0.3">
      <c r="B33" t="s">
        <v>36</v>
      </c>
    </row>
  </sheetData>
  <sortState xmlns:xlrd2="http://schemas.microsoft.com/office/spreadsheetml/2017/richdata2" ref="B16:B26">
    <sortCondition ref="B16:B26"/>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F8E59-D44C-410A-BC1E-70D311244D2F}">
  <dimension ref="A1:G75"/>
  <sheetViews>
    <sheetView zoomScaleNormal="100" workbookViewId="0">
      <selection activeCell="E24" sqref="E24"/>
    </sheetView>
  </sheetViews>
  <sheetFormatPr defaultRowHeight="14.4" x14ac:dyDescent="0.3"/>
  <cols>
    <col min="1" max="1" width="15.6640625" bestFit="1" customWidth="1"/>
    <col min="2" max="2" width="10.21875" bestFit="1" customWidth="1"/>
    <col min="6" max="6" width="18.33203125" bestFit="1" customWidth="1"/>
  </cols>
  <sheetData>
    <row r="1" spans="1:7" x14ac:dyDescent="0.3">
      <c r="A1" t="s">
        <v>633</v>
      </c>
      <c r="B1" t="s">
        <v>634</v>
      </c>
      <c r="F1" t="s">
        <v>739</v>
      </c>
      <c r="G1" t="s">
        <v>740</v>
      </c>
    </row>
    <row r="2" spans="1:7" x14ac:dyDescent="0.3">
      <c r="A2" t="s">
        <v>635</v>
      </c>
      <c r="B2" t="s">
        <v>438</v>
      </c>
      <c r="C2" t="s">
        <v>439</v>
      </c>
      <c r="F2" t="s">
        <v>741</v>
      </c>
      <c r="G2" t="s">
        <v>743</v>
      </c>
    </row>
    <row r="3" spans="1:7" x14ac:dyDescent="0.3">
      <c r="A3" t="s">
        <v>737</v>
      </c>
      <c r="B3" t="s">
        <v>642</v>
      </c>
      <c r="C3" t="s">
        <v>643</v>
      </c>
      <c r="G3" t="s">
        <v>745</v>
      </c>
    </row>
    <row r="4" spans="1:7" x14ac:dyDescent="0.3">
      <c r="B4" t="s">
        <v>543</v>
      </c>
      <c r="C4" t="s">
        <v>636</v>
      </c>
      <c r="G4" t="s">
        <v>747</v>
      </c>
    </row>
    <row r="5" spans="1:7" x14ac:dyDescent="0.3">
      <c r="B5" t="s">
        <v>564</v>
      </c>
      <c r="C5" t="s">
        <v>637</v>
      </c>
      <c r="G5" t="s">
        <v>746</v>
      </c>
    </row>
    <row r="6" spans="1:7" x14ac:dyDescent="0.3">
      <c r="B6" t="s">
        <v>638</v>
      </c>
      <c r="C6" t="s">
        <v>639</v>
      </c>
      <c r="G6" t="s">
        <v>744</v>
      </c>
    </row>
    <row r="7" spans="1:7" x14ac:dyDescent="0.3">
      <c r="B7" t="s">
        <v>640</v>
      </c>
      <c r="C7" t="s">
        <v>641</v>
      </c>
      <c r="G7" t="s">
        <v>742</v>
      </c>
    </row>
    <row r="8" spans="1:7" x14ac:dyDescent="0.3">
      <c r="B8" t="s">
        <v>615</v>
      </c>
      <c r="G8" t="s">
        <v>748</v>
      </c>
    </row>
    <row r="9" spans="1:7" x14ac:dyDescent="0.3">
      <c r="B9" t="s">
        <v>611</v>
      </c>
    </row>
    <row r="10" spans="1:7" x14ac:dyDescent="0.3">
      <c r="B10" t="s">
        <v>616</v>
      </c>
      <c r="F10" t="s">
        <v>749</v>
      </c>
      <c r="G10" t="s">
        <v>753</v>
      </c>
    </row>
    <row r="11" spans="1:7" x14ac:dyDescent="0.3">
      <c r="B11" t="s">
        <v>612</v>
      </c>
      <c r="G11" t="s">
        <v>751</v>
      </c>
    </row>
    <row r="12" spans="1:7" x14ac:dyDescent="0.3">
      <c r="G12" t="s">
        <v>750</v>
      </c>
    </row>
    <row r="13" spans="1:7" x14ac:dyDescent="0.3">
      <c r="A13" t="s">
        <v>644</v>
      </c>
      <c r="B13" t="s">
        <v>651</v>
      </c>
      <c r="G13" t="s">
        <v>752</v>
      </c>
    </row>
    <row r="14" spans="1:7" x14ac:dyDescent="0.3">
      <c r="A14" t="s">
        <v>697</v>
      </c>
      <c r="B14" t="s">
        <v>646</v>
      </c>
      <c r="G14" t="s">
        <v>754</v>
      </c>
    </row>
    <row r="15" spans="1:7" x14ac:dyDescent="0.3">
      <c r="B15" t="s">
        <v>645</v>
      </c>
      <c r="G15" t="s">
        <v>748</v>
      </c>
    </row>
    <row r="16" spans="1:7" x14ac:dyDescent="0.3">
      <c r="B16" t="s">
        <v>647</v>
      </c>
    </row>
    <row r="17" spans="1:7" x14ac:dyDescent="0.3">
      <c r="B17" t="s">
        <v>648</v>
      </c>
      <c r="F17" t="s">
        <v>755</v>
      </c>
      <c r="G17" t="s">
        <v>803</v>
      </c>
    </row>
    <row r="18" spans="1:7" x14ac:dyDescent="0.3">
      <c r="B18" t="s">
        <v>649</v>
      </c>
      <c r="G18" t="s">
        <v>792</v>
      </c>
    </row>
    <row r="19" spans="1:7" x14ac:dyDescent="0.3">
      <c r="B19" t="s">
        <v>650</v>
      </c>
    </row>
    <row r="20" spans="1:7" x14ac:dyDescent="0.3">
      <c r="F20" t="s">
        <v>756</v>
      </c>
      <c r="G20" t="s">
        <v>759</v>
      </c>
    </row>
    <row r="21" spans="1:7" x14ac:dyDescent="0.3">
      <c r="A21" t="s">
        <v>652</v>
      </c>
      <c r="B21" t="s">
        <v>516</v>
      </c>
      <c r="G21" t="s">
        <v>760</v>
      </c>
    </row>
    <row r="22" spans="1:7" x14ac:dyDescent="0.3">
      <c r="A22" t="s">
        <v>738</v>
      </c>
      <c r="B22" t="s">
        <v>406</v>
      </c>
      <c r="G22" t="s">
        <v>757</v>
      </c>
    </row>
    <row r="23" spans="1:7" x14ac:dyDescent="0.3">
      <c r="B23" t="s">
        <v>422</v>
      </c>
      <c r="G23" t="s">
        <v>758</v>
      </c>
    </row>
    <row r="24" spans="1:7" x14ac:dyDescent="0.3">
      <c r="B24" t="s">
        <v>424</v>
      </c>
      <c r="G24" t="s">
        <v>761</v>
      </c>
    </row>
    <row r="25" spans="1:7" x14ac:dyDescent="0.3">
      <c r="B25" t="s">
        <v>653</v>
      </c>
      <c r="G25" t="s">
        <v>748</v>
      </c>
    </row>
    <row r="26" spans="1:7" x14ac:dyDescent="0.3">
      <c r="B26" t="s">
        <v>425</v>
      </c>
    </row>
    <row r="27" spans="1:7" x14ac:dyDescent="0.3">
      <c r="B27" t="s">
        <v>654</v>
      </c>
      <c r="F27" t="s">
        <v>762</v>
      </c>
      <c r="G27" t="s">
        <v>763</v>
      </c>
    </row>
    <row r="28" spans="1:7" x14ac:dyDescent="0.3">
      <c r="B28" t="s">
        <v>426</v>
      </c>
      <c r="G28" t="s">
        <v>764</v>
      </c>
    </row>
    <row r="29" spans="1:7" x14ac:dyDescent="0.3">
      <c r="B29" t="s">
        <v>655</v>
      </c>
      <c r="G29" t="s">
        <v>768</v>
      </c>
    </row>
    <row r="30" spans="1:7" x14ac:dyDescent="0.3">
      <c r="B30" t="s">
        <v>657</v>
      </c>
      <c r="G30" t="s">
        <v>766</v>
      </c>
    </row>
    <row r="31" spans="1:7" x14ac:dyDescent="0.3">
      <c r="B31" t="s">
        <v>658</v>
      </c>
      <c r="G31" t="s">
        <v>767</v>
      </c>
    </row>
    <row r="32" spans="1:7" x14ac:dyDescent="0.3">
      <c r="B32" t="s">
        <v>419</v>
      </c>
      <c r="G32" t="s">
        <v>765</v>
      </c>
    </row>
    <row r="33" spans="1:7" x14ac:dyDescent="0.3">
      <c r="B33" t="s">
        <v>397</v>
      </c>
      <c r="G33" t="s">
        <v>769</v>
      </c>
    </row>
    <row r="34" spans="1:7" x14ac:dyDescent="0.3">
      <c r="B34" t="s">
        <v>398</v>
      </c>
    </row>
    <row r="35" spans="1:7" x14ac:dyDescent="0.3">
      <c r="B35" t="s">
        <v>481</v>
      </c>
      <c r="F35" t="s">
        <v>770</v>
      </c>
      <c r="G35" t="s">
        <v>773</v>
      </c>
    </row>
    <row r="36" spans="1:7" x14ac:dyDescent="0.3">
      <c r="B36" t="s">
        <v>503</v>
      </c>
      <c r="G36" t="s">
        <v>772</v>
      </c>
    </row>
    <row r="37" spans="1:7" x14ac:dyDescent="0.3">
      <c r="B37" t="s">
        <v>656</v>
      </c>
      <c r="G37" t="s">
        <v>771</v>
      </c>
    </row>
    <row r="38" spans="1:7" x14ac:dyDescent="0.3">
      <c r="G38" t="s">
        <v>774</v>
      </c>
    </row>
    <row r="39" spans="1:7" x14ac:dyDescent="0.3">
      <c r="A39" t="s">
        <v>659</v>
      </c>
      <c r="B39" t="s">
        <v>10</v>
      </c>
    </row>
    <row r="40" spans="1:7" x14ac:dyDescent="0.3">
      <c r="A40" t="s">
        <v>698</v>
      </c>
      <c r="B40" t="s">
        <v>570</v>
      </c>
      <c r="F40" t="s">
        <v>775</v>
      </c>
      <c r="G40" t="s">
        <v>776</v>
      </c>
    </row>
    <row r="41" spans="1:7" x14ac:dyDescent="0.3">
      <c r="B41" t="s">
        <v>660</v>
      </c>
      <c r="G41" t="s">
        <v>777</v>
      </c>
    </row>
    <row r="42" spans="1:7" x14ac:dyDescent="0.3">
      <c r="G42" t="s">
        <v>778</v>
      </c>
    </row>
    <row r="43" spans="1:7" x14ac:dyDescent="0.3">
      <c r="A43" t="s">
        <v>661</v>
      </c>
      <c r="B43" t="s">
        <v>662</v>
      </c>
      <c r="G43" t="s">
        <v>779</v>
      </c>
    </row>
    <row r="44" spans="1:7" x14ac:dyDescent="0.3">
      <c r="B44" t="s">
        <v>663</v>
      </c>
      <c r="G44" t="s">
        <v>781</v>
      </c>
    </row>
    <row r="45" spans="1:7" x14ac:dyDescent="0.3">
      <c r="B45" t="s">
        <v>664</v>
      </c>
      <c r="G45" t="s">
        <v>780</v>
      </c>
    </row>
    <row r="46" spans="1:7" x14ac:dyDescent="0.3">
      <c r="B46" t="s">
        <v>665</v>
      </c>
      <c r="G46" t="s">
        <v>782</v>
      </c>
    </row>
    <row r="47" spans="1:7" x14ac:dyDescent="0.3">
      <c r="B47" t="s">
        <v>666</v>
      </c>
    </row>
    <row r="48" spans="1:7" x14ac:dyDescent="0.3">
      <c r="B48" t="s">
        <v>667</v>
      </c>
      <c r="F48" t="s">
        <v>783</v>
      </c>
      <c r="G48" t="s">
        <v>784</v>
      </c>
    </row>
    <row r="49" spans="1:7" x14ac:dyDescent="0.3">
      <c r="B49" t="s">
        <v>668</v>
      </c>
      <c r="G49" t="s">
        <v>785</v>
      </c>
    </row>
    <row r="50" spans="1:7" x14ac:dyDescent="0.3">
      <c r="B50" t="s">
        <v>669</v>
      </c>
      <c r="G50" t="s">
        <v>786</v>
      </c>
    </row>
    <row r="51" spans="1:7" x14ac:dyDescent="0.3">
      <c r="B51" t="s">
        <v>670</v>
      </c>
      <c r="G51" t="s">
        <v>787</v>
      </c>
    </row>
    <row r="52" spans="1:7" x14ac:dyDescent="0.3">
      <c r="B52" t="s">
        <v>671</v>
      </c>
      <c r="G52" t="s">
        <v>788</v>
      </c>
    </row>
    <row r="53" spans="1:7" x14ac:dyDescent="0.3">
      <c r="B53" t="s">
        <v>672</v>
      </c>
      <c r="G53" t="s">
        <v>789</v>
      </c>
    </row>
    <row r="54" spans="1:7" x14ac:dyDescent="0.3">
      <c r="B54" t="s">
        <v>673</v>
      </c>
    </row>
    <row r="55" spans="1:7" x14ac:dyDescent="0.3">
      <c r="B55" t="s">
        <v>674</v>
      </c>
      <c r="F55" t="s">
        <v>790</v>
      </c>
      <c r="G55" t="s">
        <v>791</v>
      </c>
    </row>
    <row r="56" spans="1:7" x14ac:dyDescent="0.3">
      <c r="B56" t="s">
        <v>675</v>
      </c>
      <c r="G56" t="s">
        <v>792</v>
      </c>
    </row>
    <row r="57" spans="1:7" x14ac:dyDescent="0.3">
      <c r="B57" t="s">
        <v>676</v>
      </c>
    </row>
    <row r="58" spans="1:7" x14ac:dyDescent="0.3">
      <c r="B58" t="s">
        <v>677</v>
      </c>
      <c r="F58" t="s">
        <v>793</v>
      </c>
      <c r="G58" t="s">
        <v>794</v>
      </c>
    </row>
    <row r="59" spans="1:7" x14ac:dyDescent="0.3">
      <c r="B59" t="s">
        <v>678</v>
      </c>
      <c r="G59" t="s">
        <v>795</v>
      </c>
    </row>
    <row r="60" spans="1:7" x14ac:dyDescent="0.3">
      <c r="B60" t="s">
        <v>679</v>
      </c>
      <c r="G60" t="s">
        <v>796</v>
      </c>
    </row>
    <row r="61" spans="1:7" x14ac:dyDescent="0.3">
      <c r="B61" t="s">
        <v>680</v>
      </c>
      <c r="G61" t="s">
        <v>798</v>
      </c>
    </row>
    <row r="62" spans="1:7" x14ac:dyDescent="0.3">
      <c r="G62" t="s">
        <v>797</v>
      </c>
    </row>
    <row r="63" spans="1:7" x14ac:dyDescent="0.3">
      <c r="A63" t="s">
        <v>681</v>
      </c>
      <c r="B63" t="s">
        <v>682</v>
      </c>
      <c r="G63" t="s">
        <v>789</v>
      </c>
    </row>
    <row r="64" spans="1:7" x14ac:dyDescent="0.3">
      <c r="B64" t="s">
        <v>683</v>
      </c>
    </row>
    <row r="65" spans="1:7" x14ac:dyDescent="0.3">
      <c r="B65" t="s">
        <v>684</v>
      </c>
      <c r="F65" t="s">
        <v>799</v>
      </c>
      <c r="G65" t="s">
        <v>800</v>
      </c>
    </row>
    <row r="66" spans="1:7" x14ac:dyDescent="0.3">
      <c r="G66" t="s">
        <v>801</v>
      </c>
    </row>
    <row r="67" spans="1:7" x14ac:dyDescent="0.3">
      <c r="A67" t="s">
        <v>685</v>
      </c>
      <c r="B67" t="s">
        <v>686</v>
      </c>
      <c r="G67" t="s">
        <v>798</v>
      </c>
    </row>
    <row r="68" spans="1:7" x14ac:dyDescent="0.3">
      <c r="B68" t="s">
        <v>687</v>
      </c>
      <c r="G68" t="s">
        <v>787</v>
      </c>
    </row>
    <row r="69" spans="1:7" x14ac:dyDescent="0.3">
      <c r="G69" t="s">
        <v>802</v>
      </c>
    </row>
    <row r="70" spans="1:7" x14ac:dyDescent="0.3">
      <c r="A70" t="s">
        <v>694</v>
      </c>
      <c r="B70" t="s">
        <v>688</v>
      </c>
    </row>
    <row r="71" spans="1:7" x14ac:dyDescent="0.3">
      <c r="B71" t="s">
        <v>689</v>
      </c>
    </row>
    <row r="72" spans="1:7" x14ac:dyDescent="0.3">
      <c r="B72" t="s">
        <v>690</v>
      </c>
    </row>
    <row r="73" spans="1:7" x14ac:dyDescent="0.3">
      <c r="B73" t="s">
        <v>691</v>
      </c>
    </row>
    <row r="74" spans="1:7" x14ac:dyDescent="0.3">
      <c r="B74" t="s">
        <v>692</v>
      </c>
    </row>
    <row r="75" spans="1:7" x14ac:dyDescent="0.3">
      <c r="B75" t="s">
        <v>693</v>
      </c>
    </row>
  </sheetData>
  <sortState xmlns:xlrd2="http://schemas.microsoft.com/office/spreadsheetml/2017/richdata2" ref="G65:G68">
    <sortCondition ref="G65:G68"/>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1C294-B54D-4FE3-9C07-E55D22469AB8}">
  <dimension ref="A1:J83"/>
  <sheetViews>
    <sheetView zoomScaleNormal="100" workbookViewId="0">
      <selection activeCell="O67" sqref="O67"/>
    </sheetView>
  </sheetViews>
  <sheetFormatPr defaultRowHeight="14.4" x14ac:dyDescent="0.3"/>
  <cols>
    <col min="1" max="1" width="16.5546875" bestFit="1" customWidth="1"/>
    <col min="2" max="2" width="10.21875" bestFit="1" customWidth="1"/>
    <col min="6" max="6" width="23.33203125" bestFit="1" customWidth="1"/>
  </cols>
  <sheetData>
    <row r="1" spans="1:10" x14ac:dyDescent="0.3">
      <c r="A1" t="s">
        <v>633</v>
      </c>
      <c r="B1" t="s">
        <v>634</v>
      </c>
      <c r="F1" t="s">
        <v>739</v>
      </c>
      <c r="G1" t="s">
        <v>740</v>
      </c>
      <c r="J1" s="1" t="s">
        <v>852</v>
      </c>
    </row>
    <row r="2" spans="1:10" x14ac:dyDescent="0.3">
      <c r="A2" t="s">
        <v>635</v>
      </c>
      <c r="B2" t="s">
        <v>438</v>
      </c>
      <c r="C2" t="s">
        <v>439</v>
      </c>
      <c r="F2" t="s">
        <v>741</v>
      </c>
      <c r="G2" t="s">
        <v>743</v>
      </c>
      <c r="J2" s="1" t="s">
        <v>853</v>
      </c>
    </row>
    <row r="3" spans="1:10" x14ac:dyDescent="0.3">
      <c r="A3" t="s">
        <v>851</v>
      </c>
      <c r="B3" t="s">
        <v>642</v>
      </c>
      <c r="C3" t="s">
        <v>643</v>
      </c>
      <c r="G3" t="s">
        <v>745</v>
      </c>
    </row>
    <row r="4" spans="1:10" x14ac:dyDescent="0.3">
      <c r="B4" s="1" t="s">
        <v>503</v>
      </c>
      <c r="G4" t="s">
        <v>747</v>
      </c>
    </row>
    <row r="5" spans="1:10" x14ac:dyDescent="0.3">
      <c r="B5" t="s">
        <v>543</v>
      </c>
      <c r="C5" t="s">
        <v>636</v>
      </c>
      <c r="G5" t="s">
        <v>746</v>
      </c>
    </row>
    <row r="6" spans="1:10" x14ac:dyDescent="0.3">
      <c r="B6" t="s">
        <v>564</v>
      </c>
      <c r="C6" t="s">
        <v>637</v>
      </c>
      <c r="G6" t="s">
        <v>744</v>
      </c>
    </row>
    <row r="7" spans="1:10" x14ac:dyDescent="0.3">
      <c r="B7" t="s">
        <v>638</v>
      </c>
      <c r="C7" t="s">
        <v>639</v>
      </c>
      <c r="G7" t="s">
        <v>742</v>
      </c>
    </row>
    <row r="8" spans="1:10" x14ac:dyDescent="0.3">
      <c r="B8" t="s">
        <v>640</v>
      </c>
      <c r="C8" t="s">
        <v>641</v>
      </c>
      <c r="G8" t="s">
        <v>748</v>
      </c>
    </row>
    <row r="9" spans="1:10" x14ac:dyDescent="0.3">
      <c r="B9" t="s">
        <v>615</v>
      </c>
    </row>
    <row r="10" spans="1:10" x14ac:dyDescent="0.3">
      <c r="B10" t="s">
        <v>611</v>
      </c>
      <c r="F10" t="s">
        <v>749</v>
      </c>
      <c r="G10" t="s">
        <v>753</v>
      </c>
    </row>
    <row r="11" spans="1:10" x14ac:dyDescent="0.3">
      <c r="B11" t="s">
        <v>616</v>
      </c>
      <c r="G11" t="s">
        <v>766</v>
      </c>
    </row>
    <row r="12" spans="1:10" x14ac:dyDescent="0.3">
      <c r="B12" t="s">
        <v>612</v>
      </c>
      <c r="G12" t="s">
        <v>883</v>
      </c>
    </row>
    <row r="13" spans="1:10" x14ac:dyDescent="0.3">
      <c r="G13" t="s">
        <v>752</v>
      </c>
    </row>
    <row r="14" spans="1:10" x14ac:dyDescent="0.3">
      <c r="A14" t="s">
        <v>644</v>
      </c>
      <c r="B14" t="s">
        <v>651</v>
      </c>
      <c r="G14" t="s">
        <v>754</v>
      </c>
    </row>
    <row r="15" spans="1:10" x14ac:dyDescent="0.3">
      <c r="A15" t="s">
        <v>697</v>
      </c>
      <c r="B15" t="s">
        <v>646</v>
      </c>
      <c r="G15" t="s">
        <v>748</v>
      </c>
    </row>
    <row r="16" spans="1:10" x14ac:dyDescent="0.3">
      <c r="B16" t="s">
        <v>645</v>
      </c>
    </row>
    <row r="17" spans="1:7" x14ac:dyDescent="0.3">
      <c r="B17" t="s">
        <v>647</v>
      </c>
      <c r="F17" t="s">
        <v>755</v>
      </c>
      <c r="G17" t="s">
        <v>803</v>
      </c>
    </row>
    <row r="18" spans="1:7" x14ac:dyDescent="0.3">
      <c r="B18" t="s">
        <v>648</v>
      </c>
      <c r="G18" t="s">
        <v>792</v>
      </c>
    </row>
    <row r="19" spans="1:7" x14ac:dyDescent="0.3">
      <c r="B19" t="s">
        <v>649</v>
      </c>
    </row>
    <row r="20" spans="1:7" x14ac:dyDescent="0.3">
      <c r="B20" t="s">
        <v>650</v>
      </c>
      <c r="F20" t="s">
        <v>756</v>
      </c>
      <c r="G20" t="s">
        <v>759</v>
      </c>
    </row>
    <row r="21" spans="1:7" x14ac:dyDescent="0.3">
      <c r="G21" t="s">
        <v>760</v>
      </c>
    </row>
    <row r="22" spans="1:7" x14ac:dyDescent="0.3">
      <c r="A22" t="s">
        <v>652</v>
      </c>
      <c r="B22" t="s">
        <v>516</v>
      </c>
      <c r="G22" t="s">
        <v>884</v>
      </c>
    </row>
    <row r="23" spans="1:7" x14ac:dyDescent="0.3">
      <c r="A23" t="s">
        <v>738</v>
      </c>
      <c r="B23" t="s">
        <v>406</v>
      </c>
      <c r="G23" t="s">
        <v>758</v>
      </c>
    </row>
    <row r="24" spans="1:7" x14ac:dyDescent="0.3">
      <c r="B24" t="s">
        <v>422</v>
      </c>
      <c r="G24" t="s">
        <v>761</v>
      </c>
    </row>
    <row r="25" spans="1:7" x14ac:dyDescent="0.3">
      <c r="B25" t="s">
        <v>424</v>
      </c>
      <c r="G25" t="s">
        <v>748</v>
      </c>
    </row>
    <row r="26" spans="1:7" x14ac:dyDescent="0.3">
      <c r="B26" t="s">
        <v>653</v>
      </c>
    </row>
    <row r="27" spans="1:7" x14ac:dyDescent="0.3">
      <c r="B27" t="s">
        <v>425</v>
      </c>
      <c r="F27" t="s">
        <v>762</v>
      </c>
      <c r="G27" t="s">
        <v>763</v>
      </c>
    </row>
    <row r="28" spans="1:7" x14ac:dyDescent="0.3">
      <c r="B28" t="s">
        <v>654</v>
      </c>
      <c r="G28" t="s">
        <v>764</v>
      </c>
    </row>
    <row r="29" spans="1:7" x14ac:dyDescent="0.3">
      <c r="B29" t="s">
        <v>426</v>
      </c>
      <c r="G29" t="s">
        <v>768</v>
      </c>
    </row>
    <row r="30" spans="1:7" x14ac:dyDescent="0.3">
      <c r="B30" t="s">
        <v>655</v>
      </c>
      <c r="G30" t="s">
        <v>885</v>
      </c>
    </row>
    <row r="31" spans="1:7" x14ac:dyDescent="0.3">
      <c r="B31" t="s">
        <v>657</v>
      </c>
      <c r="G31" t="s">
        <v>751</v>
      </c>
    </row>
    <row r="32" spans="1:7" x14ac:dyDescent="0.3">
      <c r="B32" t="s">
        <v>658</v>
      </c>
      <c r="G32" t="s">
        <v>765</v>
      </c>
    </row>
    <row r="33" spans="1:7" x14ac:dyDescent="0.3">
      <c r="B33" t="s">
        <v>419</v>
      </c>
      <c r="G33" t="s">
        <v>769</v>
      </c>
    </row>
    <row r="34" spans="1:7" x14ac:dyDescent="0.3">
      <c r="B34" t="s">
        <v>397</v>
      </c>
    </row>
    <row r="35" spans="1:7" x14ac:dyDescent="0.3">
      <c r="B35" t="s">
        <v>398</v>
      </c>
      <c r="F35" t="s">
        <v>770</v>
      </c>
      <c r="G35" t="s">
        <v>773</v>
      </c>
    </row>
    <row r="36" spans="1:7" x14ac:dyDescent="0.3">
      <c r="B36" t="s">
        <v>481</v>
      </c>
      <c r="G36" t="s">
        <v>771</v>
      </c>
    </row>
    <row r="37" spans="1:7" x14ac:dyDescent="0.3">
      <c r="B37" t="s">
        <v>656</v>
      </c>
      <c r="G37" t="s">
        <v>772</v>
      </c>
    </row>
    <row r="38" spans="1:7" x14ac:dyDescent="0.3">
      <c r="G38" t="s">
        <v>774</v>
      </c>
    </row>
    <row r="39" spans="1:7" x14ac:dyDescent="0.3">
      <c r="A39" t="s">
        <v>659</v>
      </c>
      <c r="B39" t="s">
        <v>10</v>
      </c>
    </row>
    <row r="40" spans="1:7" x14ac:dyDescent="0.3">
      <c r="A40" t="s">
        <v>698</v>
      </c>
      <c r="B40" t="s">
        <v>570</v>
      </c>
      <c r="F40" t="s">
        <v>775</v>
      </c>
      <c r="G40" t="s">
        <v>776</v>
      </c>
    </row>
    <row r="41" spans="1:7" x14ac:dyDescent="0.3">
      <c r="B41" t="s">
        <v>660</v>
      </c>
      <c r="G41" t="s">
        <v>777</v>
      </c>
    </row>
    <row r="42" spans="1:7" x14ac:dyDescent="0.3">
      <c r="G42" t="s">
        <v>778</v>
      </c>
    </row>
    <row r="43" spans="1:7" x14ac:dyDescent="0.3">
      <c r="A43" t="s">
        <v>681</v>
      </c>
      <c r="B43" t="s">
        <v>682</v>
      </c>
      <c r="G43" t="s">
        <v>779</v>
      </c>
    </row>
    <row r="44" spans="1:7" x14ac:dyDescent="0.3">
      <c r="A44" t="s">
        <v>856</v>
      </c>
      <c r="B44" t="s">
        <v>854</v>
      </c>
      <c r="G44" t="s">
        <v>781</v>
      </c>
    </row>
    <row r="45" spans="1:7" x14ac:dyDescent="0.3">
      <c r="B45" t="s">
        <v>683</v>
      </c>
      <c r="G45" t="s">
        <v>780</v>
      </c>
    </row>
    <row r="46" spans="1:7" x14ac:dyDescent="0.3">
      <c r="B46" t="s">
        <v>684</v>
      </c>
      <c r="G46" t="s">
        <v>782</v>
      </c>
    </row>
    <row r="48" spans="1:7" x14ac:dyDescent="0.3">
      <c r="A48" t="s">
        <v>855</v>
      </c>
      <c r="B48" t="s">
        <v>662</v>
      </c>
      <c r="F48" t="s">
        <v>783</v>
      </c>
      <c r="G48" t="s">
        <v>784</v>
      </c>
    </row>
    <row r="49" spans="1:7" x14ac:dyDescent="0.3">
      <c r="A49" t="s">
        <v>856</v>
      </c>
      <c r="B49" t="s">
        <v>857</v>
      </c>
      <c r="G49" t="s">
        <v>785</v>
      </c>
    </row>
    <row r="50" spans="1:7" x14ac:dyDescent="0.3">
      <c r="B50" t="s">
        <v>664</v>
      </c>
      <c r="G50" t="s">
        <v>786</v>
      </c>
    </row>
    <row r="51" spans="1:7" x14ac:dyDescent="0.3">
      <c r="B51" t="s">
        <v>858</v>
      </c>
      <c r="G51" t="s">
        <v>787</v>
      </c>
    </row>
    <row r="52" spans="1:7" x14ac:dyDescent="0.3">
      <c r="B52" t="s">
        <v>665</v>
      </c>
      <c r="G52" t="s">
        <v>788</v>
      </c>
    </row>
    <row r="53" spans="1:7" x14ac:dyDescent="0.3">
      <c r="B53" t="s">
        <v>666</v>
      </c>
      <c r="G53" t="s">
        <v>789</v>
      </c>
    </row>
    <row r="54" spans="1:7" x14ac:dyDescent="0.3">
      <c r="B54" t="s">
        <v>859</v>
      </c>
    </row>
    <row r="55" spans="1:7" x14ac:dyDescent="0.3">
      <c r="B55" t="s">
        <v>860</v>
      </c>
      <c r="F55" t="s">
        <v>790</v>
      </c>
      <c r="G55" t="s">
        <v>791</v>
      </c>
    </row>
    <row r="56" spans="1:7" x14ac:dyDescent="0.3">
      <c r="B56" t="s">
        <v>861</v>
      </c>
      <c r="G56" t="s">
        <v>792</v>
      </c>
    </row>
    <row r="57" spans="1:7" x14ac:dyDescent="0.3">
      <c r="B57" t="s">
        <v>667</v>
      </c>
    </row>
    <row r="58" spans="1:7" x14ac:dyDescent="0.3">
      <c r="B58" t="s">
        <v>862</v>
      </c>
      <c r="F58" t="s">
        <v>793</v>
      </c>
      <c r="G58" t="s">
        <v>794</v>
      </c>
    </row>
    <row r="59" spans="1:7" x14ac:dyDescent="0.3">
      <c r="B59" t="s">
        <v>682</v>
      </c>
      <c r="G59" t="s">
        <v>795</v>
      </c>
    </row>
    <row r="60" spans="1:7" x14ac:dyDescent="0.3">
      <c r="B60" t="s">
        <v>854</v>
      </c>
      <c r="G60" t="s">
        <v>796</v>
      </c>
    </row>
    <row r="61" spans="1:7" x14ac:dyDescent="0.3">
      <c r="B61" t="s">
        <v>683</v>
      </c>
      <c r="G61" t="s">
        <v>797</v>
      </c>
    </row>
    <row r="62" spans="1:7" x14ac:dyDescent="0.3">
      <c r="B62" t="s">
        <v>863</v>
      </c>
      <c r="G62" t="s">
        <v>798</v>
      </c>
    </row>
    <row r="63" spans="1:7" x14ac:dyDescent="0.3">
      <c r="B63" t="s">
        <v>684</v>
      </c>
      <c r="G63" t="s">
        <v>789</v>
      </c>
    </row>
    <row r="64" spans="1:7" x14ac:dyDescent="0.3">
      <c r="B64" t="s">
        <v>668</v>
      </c>
    </row>
    <row r="65" spans="2:7" x14ac:dyDescent="0.3">
      <c r="B65" t="s">
        <v>669</v>
      </c>
      <c r="F65" t="s">
        <v>799</v>
      </c>
      <c r="G65" t="s">
        <v>800</v>
      </c>
    </row>
    <row r="66" spans="2:7" x14ac:dyDescent="0.3">
      <c r="B66" t="s">
        <v>688</v>
      </c>
      <c r="G66" t="s">
        <v>801</v>
      </c>
    </row>
    <row r="67" spans="2:7" x14ac:dyDescent="0.3">
      <c r="B67" t="s">
        <v>689</v>
      </c>
      <c r="G67" t="s">
        <v>798</v>
      </c>
    </row>
    <row r="68" spans="2:7" x14ac:dyDescent="0.3">
      <c r="B68" t="s">
        <v>691</v>
      </c>
      <c r="G68" t="s">
        <v>787</v>
      </c>
    </row>
    <row r="69" spans="2:7" x14ac:dyDescent="0.3">
      <c r="B69" t="s">
        <v>692</v>
      </c>
      <c r="G69" t="s">
        <v>802</v>
      </c>
    </row>
    <row r="70" spans="2:7" x14ac:dyDescent="0.3">
      <c r="B70" t="s">
        <v>864</v>
      </c>
    </row>
    <row r="71" spans="2:7" x14ac:dyDescent="0.3">
      <c r="B71" t="s">
        <v>693</v>
      </c>
    </row>
    <row r="72" spans="2:7" x14ac:dyDescent="0.3">
      <c r="B72" t="s">
        <v>671</v>
      </c>
    </row>
    <row r="73" spans="2:7" x14ac:dyDescent="0.3">
      <c r="B73" t="s">
        <v>672</v>
      </c>
    </row>
    <row r="74" spans="2:7" x14ac:dyDescent="0.3">
      <c r="B74" t="s">
        <v>673</v>
      </c>
    </row>
    <row r="75" spans="2:7" x14ac:dyDescent="0.3">
      <c r="B75" t="s">
        <v>675</v>
      </c>
    </row>
    <row r="76" spans="2:7" x14ac:dyDescent="0.3">
      <c r="B76" t="s">
        <v>676</v>
      </c>
    </row>
    <row r="77" spans="2:7" x14ac:dyDescent="0.3">
      <c r="B77" t="s">
        <v>677</v>
      </c>
    </row>
    <row r="78" spans="2:7" x14ac:dyDescent="0.3">
      <c r="B78" t="s">
        <v>678</v>
      </c>
    </row>
    <row r="79" spans="2:7" x14ac:dyDescent="0.3">
      <c r="B79" t="s">
        <v>679</v>
      </c>
    </row>
    <row r="80" spans="2:7" x14ac:dyDescent="0.3">
      <c r="B80" t="s">
        <v>680</v>
      </c>
    </row>
    <row r="81" spans="2:2" x14ac:dyDescent="0.3">
      <c r="B81" t="s">
        <v>686</v>
      </c>
    </row>
    <row r="82" spans="2:2" x14ac:dyDescent="0.3">
      <c r="B82" t="s">
        <v>687</v>
      </c>
    </row>
    <row r="83" spans="2:2" x14ac:dyDescent="0.3">
      <c r="B83" t="s">
        <v>865</v>
      </c>
    </row>
  </sheetData>
  <sortState xmlns:xlrd2="http://schemas.microsoft.com/office/spreadsheetml/2017/richdata2" ref="B48:B83">
    <sortCondition ref="B83"/>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618AE-252E-4E20-98DB-950F8C1676D4}">
  <dimension ref="A1:G69"/>
  <sheetViews>
    <sheetView workbookViewId="0">
      <selection activeCell="G2" sqref="G2:G6"/>
    </sheetView>
  </sheetViews>
  <sheetFormatPr defaultRowHeight="14.4" x14ac:dyDescent="0.3"/>
  <cols>
    <col min="1" max="1" width="16.5546875" bestFit="1" customWidth="1"/>
    <col min="2" max="2" width="10.21875" bestFit="1" customWidth="1"/>
    <col min="3" max="3" width="9.77734375" bestFit="1" customWidth="1"/>
    <col min="6" max="6" width="23.33203125" bestFit="1" customWidth="1"/>
  </cols>
  <sheetData>
    <row r="1" spans="1:7" x14ac:dyDescent="0.3">
      <c r="A1" t="s">
        <v>633</v>
      </c>
      <c r="B1" t="s">
        <v>634</v>
      </c>
      <c r="F1" t="s">
        <v>739</v>
      </c>
      <c r="G1" t="s">
        <v>740</v>
      </c>
    </row>
    <row r="2" spans="1:7" x14ac:dyDescent="0.3">
      <c r="A2" t="s">
        <v>635</v>
      </c>
      <c r="B2" t="s">
        <v>543</v>
      </c>
      <c r="C2" t="s">
        <v>636</v>
      </c>
      <c r="F2" t="s">
        <v>804</v>
      </c>
      <c r="G2" t="s">
        <v>747</v>
      </c>
    </row>
    <row r="3" spans="1:7" x14ac:dyDescent="0.3">
      <c r="A3" t="s">
        <v>697</v>
      </c>
      <c r="B3" t="s">
        <v>564</v>
      </c>
      <c r="C3" t="s">
        <v>637</v>
      </c>
      <c r="G3" t="s">
        <v>805</v>
      </c>
    </row>
    <row r="4" spans="1:7" x14ac:dyDescent="0.3">
      <c r="B4" t="s">
        <v>638</v>
      </c>
      <c r="C4" t="s">
        <v>639</v>
      </c>
      <c r="G4" t="s">
        <v>744</v>
      </c>
    </row>
    <row r="5" spans="1:7" x14ac:dyDescent="0.3">
      <c r="B5" t="s">
        <v>615</v>
      </c>
      <c r="G5" t="s">
        <v>742</v>
      </c>
    </row>
    <row r="6" spans="1:7" x14ac:dyDescent="0.3">
      <c r="B6" t="s">
        <v>611</v>
      </c>
      <c r="G6" t="s">
        <v>772</v>
      </c>
    </row>
    <row r="7" spans="1:7" x14ac:dyDescent="0.3">
      <c r="B7" t="s">
        <v>616</v>
      </c>
      <c r="G7" t="s">
        <v>789</v>
      </c>
    </row>
    <row r="8" spans="1:7" x14ac:dyDescent="0.3">
      <c r="B8" t="s">
        <v>612</v>
      </c>
    </row>
    <row r="9" spans="1:7" x14ac:dyDescent="0.3">
      <c r="F9" t="s">
        <v>749</v>
      </c>
      <c r="G9" t="s">
        <v>753</v>
      </c>
    </row>
    <row r="10" spans="1:7" x14ac:dyDescent="0.3">
      <c r="A10" t="s">
        <v>644</v>
      </c>
      <c r="B10" t="s">
        <v>646</v>
      </c>
      <c r="G10" t="s">
        <v>751</v>
      </c>
    </row>
    <row r="11" spans="1:7" x14ac:dyDescent="0.3">
      <c r="A11" t="s">
        <v>696</v>
      </c>
      <c r="B11" t="s">
        <v>645</v>
      </c>
      <c r="G11" t="s">
        <v>750</v>
      </c>
    </row>
    <row r="12" spans="1:7" x14ac:dyDescent="0.3">
      <c r="B12" t="s">
        <v>648</v>
      </c>
      <c r="G12" t="s">
        <v>752</v>
      </c>
    </row>
    <row r="13" spans="1:7" x14ac:dyDescent="0.3">
      <c r="B13" t="s">
        <v>650</v>
      </c>
      <c r="G13" t="s">
        <v>754</v>
      </c>
    </row>
    <row r="14" spans="1:7" x14ac:dyDescent="0.3">
      <c r="G14" t="s">
        <v>748</v>
      </c>
    </row>
    <row r="15" spans="1:7" x14ac:dyDescent="0.3">
      <c r="A15" t="s">
        <v>652</v>
      </c>
      <c r="B15" t="s">
        <v>516</v>
      </c>
    </row>
    <row r="16" spans="1:7" x14ac:dyDescent="0.3">
      <c r="A16" t="s">
        <v>695</v>
      </c>
      <c r="B16" t="s">
        <v>406</v>
      </c>
      <c r="F16" t="s">
        <v>755</v>
      </c>
      <c r="G16" t="s">
        <v>803</v>
      </c>
    </row>
    <row r="17" spans="1:7" x14ac:dyDescent="0.3">
      <c r="B17" t="s">
        <v>422</v>
      </c>
      <c r="G17" t="s">
        <v>792</v>
      </c>
    </row>
    <row r="18" spans="1:7" x14ac:dyDescent="0.3">
      <c r="B18" t="s">
        <v>425</v>
      </c>
    </row>
    <row r="19" spans="1:7" x14ac:dyDescent="0.3">
      <c r="B19" t="s">
        <v>654</v>
      </c>
      <c r="F19" t="s">
        <v>756</v>
      </c>
      <c r="G19" t="s">
        <v>759</v>
      </c>
    </row>
    <row r="20" spans="1:7" x14ac:dyDescent="0.3">
      <c r="B20" t="s">
        <v>668</v>
      </c>
      <c r="G20" t="s">
        <v>760</v>
      </c>
    </row>
    <row r="21" spans="1:7" x14ac:dyDescent="0.3">
      <c r="B21" t="s">
        <v>657</v>
      </c>
      <c r="G21" t="s">
        <v>757</v>
      </c>
    </row>
    <row r="22" spans="1:7" x14ac:dyDescent="0.3">
      <c r="B22" t="s">
        <v>673</v>
      </c>
      <c r="G22" t="s">
        <v>758</v>
      </c>
    </row>
    <row r="23" spans="1:7" x14ac:dyDescent="0.3">
      <c r="B23" t="s">
        <v>419</v>
      </c>
      <c r="G23" t="s">
        <v>761</v>
      </c>
    </row>
    <row r="24" spans="1:7" x14ac:dyDescent="0.3">
      <c r="B24" t="s">
        <v>397</v>
      </c>
      <c r="G24" t="s">
        <v>748</v>
      </c>
    </row>
    <row r="25" spans="1:7" x14ac:dyDescent="0.3">
      <c r="B25" t="s">
        <v>398</v>
      </c>
    </row>
    <row r="26" spans="1:7" x14ac:dyDescent="0.3">
      <c r="B26" t="s">
        <v>481</v>
      </c>
      <c r="F26" t="s">
        <v>762</v>
      </c>
      <c r="G26" t="s">
        <v>763</v>
      </c>
    </row>
    <row r="27" spans="1:7" x14ac:dyDescent="0.3">
      <c r="B27" t="s">
        <v>503</v>
      </c>
      <c r="G27" t="s">
        <v>764</v>
      </c>
    </row>
    <row r="28" spans="1:7" x14ac:dyDescent="0.3">
      <c r="B28" t="s">
        <v>656</v>
      </c>
      <c r="G28" t="s">
        <v>768</v>
      </c>
    </row>
    <row r="29" spans="1:7" x14ac:dyDescent="0.3">
      <c r="G29" t="s">
        <v>766</v>
      </c>
    </row>
    <row r="30" spans="1:7" x14ac:dyDescent="0.3">
      <c r="A30" t="s">
        <v>659</v>
      </c>
      <c r="B30" t="s">
        <v>10</v>
      </c>
      <c r="G30" t="s">
        <v>765</v>
      </c>
    </row>
    <row r="31" spans="1:7" x14ac:dyDescent="0.3">
      <c r="A31" t="s">
        <v>698</v>
      </c>
      <c r="B31" t="s">
        <v>570</v>
      </c>
      <c r="G31" t="s">
        <v>789</v>
      </c>
    </row>
    <row r="32" spans="1:7" x14ac:dyDescent="0.3">
      <c r="B32" t="s">
        <v>660</v>
      </c>
    </row>
    <row r="33" spans="1:7" x14ac:dyDescent="0.3">
      <c r="F33" t="s">
        <v>770</v>
      </c>
      <c r="G33" t="s">
        <v>773</v>
      </c>
    </row>
    <row r="34" spans="1:7" x14ac:dyDescent="0.3">
      <c r="A34" t="s">
        <v>661</v>
      </c>
      <c r="B34" t="s">
        <v>662</v>
      </c>
      <c r="G34" t="s">
        <v>772</v>
      </c>
    </row>
    <row r="35" spans="1:7" x14ac:dyDescent="0.3">
      <c r="B35" t="s">
        <v>663</v>
      </c>
      <c r="G35" t="s">
        <v>771</v>
      </c>
    </row>
    <row r="36" spans="1:7" x14ac:dyDescent="0.3">
      <c r="B36" t="s">
        <v>664</v>
      </c>
      <c r="G36" t="s">
        <v>774</v>
      </c>
    </row>
    <row r="37" spans="1:7" x14ac:dyDescent="0.3">
      <c r="B37" t="s">
        <v>665</v>
      </c>
    </row>
    <row r="38" spans="1:7" x14ac:dyDescent="0.3">
      <c r="B38" t="s">
        <v>666</v>
      </c>
      <c r="F38" t="s">
        <v>775</v>
      </c>
      <c r="G38" t="s">
        <v>776</v>
      </c>
    </row>
    <row r="39" spans="1:7" x14ac:dyDescent="0.3">
      <c r="B39" t="s">
        <v>667</v>
      </c>
      <c r="G39" t="s">
        <v>777</v>
      </c>
    </row>
    <row r="40" spans="1:7" x14ac:dyDescent="0.3">
      <c r="B40" t="s">
        <v>669</v>
      </c>
      <c r="G40" t="s">
        <v>798</v>
      </c>
    </row>
    <row r="41" spans="1:7" x14ac:dyDescent="0.3">
      <c r="B41" t="s">
        <v>670</v>
      </c>
      <c r="G41" t="s">
        <v>807</v>
      </c>
    </row>
    <row r="42" spans="1:7" x14ac:dyDescent="0.3">
      <c r="B42" t="s">
        <v>671</v>
      </c>
      <c r="G42" t="s">
        <v>780</v>
      </c>
    </row>
    <row r="43" spans="1:7" x14ac:dyDescent="0.3">
      <c r="B43" t="s">
        <v>672</v>
      </c>
      <c r="G43" t="s">
        <v>806</v>
      </c>
    </row>
    <row r="44" spans="1:7" x14ac:dyDescent="0.3">
      <c r="B44" t="s">
        <v>674</v>
      </c>
      <c r="G44" t="s">
        <v>782</v>
      </c>
    </row>
    <row r="45" spans="1:7" x14ac:dyDescent="0.3">
      <c r="B45" t="s">
        <v>675</v>
      </c>
    </row>
    <row r="46" spans="1:7" x14ac:dyDescent="0.3">
      <c r="B46" t="s">
        <v>676</v>
      </c>
      <c r="F46" t="s">
        <v>783</v>
      </c>
      <c r="G46" t="s">
        <v>786</v>
      </c>
    </row>
    <row r="47" spans="1:7" x14ac:dyDescent="0.3">
      <c r="B47" t="s">
        <v>677</v>
      </c>
      <c r="G47" t="s">
        <v>798</v>
      </c>
    </row>
    <row r="48" spans="1:7" x14ac:dyDescent="0.3">
      <c r="B48" t="s">
        <v>678</v>
      </c>
      <c r="G48" t="s">
        <v>807</v>
      </c>
    </row>
    <row r="49" spans="1:7" x14ac:dyDescent="0.3">
      <c r="B49" t="s">
        <v>679</v>
      </c>
      <c r="G49" t="s">
        <v>797</v>
      </c>
    </row>
    <row r="50" spans="1:7" x14ac:dyDescent="0.3">
      <c r="B50" t="s">
        <v>680</v>
      </c>
      <c r="G50" t="s">
        <v>788</v>
      </c>
    </row>
    <row r="51" spans="1:7" x14ac:dyDescent="0.3">
      <c r="G51" t="s">
        <v>782</v>
      </c>
    </row>
    <row r="52" spans="1:7" x14ac:dyDescent="0.3">
      <c r="A52" t="s">
        <v>681</v>
      </c>
      <c r="B52" t="s">
        <v>424</v>
      </c>
    </row>
    <row r="53" spans="1:7" x14ac:dyDescent="0.3">
      <c r="B53" t="s">
        <v>653</v>
      </c>
      <c r="F53" t="s">
        <v>790</v>
      </c>
      <c r="G53" t="s">
        <v>808</v>
      </c>
    </row>
    <row r="54" spans="1:7" x14ac:dyDescent="0.3">
      <c r="B54" t="s">
        <v>426</v>
      </c>
      <c r="G54" t="s">
        <v>792</v>
      </c>
    </row>
    <row r="55" spans="1:7" x14ac:dyDescent="0.3">
      <c r="B55" t="s">
        <v>655</v>
      </c>
    </row>
    <row r="56" spans="1:7" x14ac:dyDescent="0.3">
      <c r="B56" t="s">
        <v>682</v>
      </c>
      <c r="F56" t="s">
        <v>793</v>
      </c>
      <c r="G56" t="s">
        <v>809</v>
      </c>
    </row>
    <row r="57" spans="1:7" x14ac:dyDescent="0.3">
      <c r="B57" t="s">
        <v>683</v>
      </c>
      <c r="G57" t="s">
        <v>796</v>
      </c>
    </row>
    <row r="58" spans="1:7" x14ac:dyDescent="0.3">
      <c r="B58" t="s">
        <v>684</v>
      </c>
      <c r="G58" t="s">
        <v>798</v>
      </c>
    </row>
    <row r="59" spans="1:7" x14ac:dyDescent="0.3">
      <c r="G59" t="s">
        <v>810</v>
      </c>
    </row>
    <row r="60" spans="1:7" x14ac:dyDescent="0.3">
      <c r="A60" t="s">
        <v>685</v>
      </c>
      <c r="B60" t="s">
        <v>686</v>
      </c>
      <c r="G60" t="s">
        <v>788</v>
      </c>
    </row>
    <row r="61" spans="1:7" x14ac:dyDescent="0.3">
      <c r="B61" t="s">
        <v>687</v>
      </c>
      <c r="G61" t="s">
        <v>782</v>
      </c>
    </row>
    <row r="63" spans="1:7" x14ac:dyDescent="0.3">
      <c r="A63" t="s">
        <v>694</v>
      </c>
      <c r="B63" t="s">
        <v>688</v>
      </c>
      <c r="F63" t="s">
        <v>799</v>
      </c>
      <c r="G63" t="s">
        <v>811</v>
      </c>
    </row>
    <row r="64" spans="1:7" x14ac:dyDescent="0.3">
      <c r="B64" t="s">
        <v>689</v>
      </c>
      <c r="G64" t="s">
        <v>800</v>
      </c>
    </row>
    <row r="65" spans="2:7" x14ac:dyDescent="0.3">
      <c r="B65" t="s">
        <v>690</v>
      </c>
      <c r="G65" t="s">
        <v>798</v>
      </c>
    </row>
    <row r="66" spans="2:7" x14ac:dyDescent="0.3">
      <c r="B66" t="s">
        <v>691</v>
      </c>
      <c r="G66" t="s">
        <v>788</v>
      </c>
    </row>
    <row r="67" spans="2:7" x14ac:dyDescent="0.3">
      <c r="B67" t="s">
        <v>658</v>
      </c>
      <c r="G67" t="s">
        <v>802</v>
      </c>
    </row>
    <row r="68" spans="2:7" x14ac:dyDescent="0.3">
      <c r="B68" t="s">
        <v>692</v>
      </c>
    </row>
    <row r="69" spans="2:7" x14ac:dyDescent="0.3">
      <c r="B69" t="s">
        <v>693</v>
      </c>
    </row>
  </sheetData>
  <sortState xmlns:xlrd2="http://schemas.microsoft.com/office/spreadsheetml/2017/richdata2" ref="G2:G6">
    <sortCondition ref="G2:G6"/>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61FD9-3A84-4D3A-83A5-CCCEB9F9C31D}">
  <dimension ref="A1:J98"/>
  <sheetViews>
    <sheetView topLeftCell="A67" workbookViewId="0">
      <selection activeCell="B68" sqref="B68:B92"/>
    </sheetView>
  </sheetViews>
  <sheetFormatPr defaultRowHeight="14.4" x14ac:dyDescent="0.3"/>
  <cols>
    <col min="1" max="1" width="16.5546875" bestFit="1" customWidth="1"/>
    <col min="2" max="2" width="10.21875" bestFit="1" customWidth="1"/>
    <col min="3" max="3" width="9.77734375" bestFit="1" customWidth="1"/>
    <col min="6" max="6" width="23.33203125" bestFit="1" customWidth="1"/>
  </cols>
  <sheetData>
    <row r="1" spans="1:10" x14ac:dyDescent="0.3">
      <c r="A1" t="s">
        <v>633</v>
      </c>
      <c r="B1" t="s">
        <v>634</v>
      </c>
      <c r="F1" t="s">
        <v>739</v>
      </c>
      <c r="G1" t="s">
        <v>740</v>
      </c>
      <c r="J1" s="1" t="s">
        <v>852</v>
      </c>
    </row>
    <row r="2" spans="1:10" x14ac:dyDescent="0.3">
      <c r="A2" t="s">
        <v>635</v>
      </c>
      <c r="B2" t="s">
        <v>543</v>
      </c>
      <c r="C2" t="s">
        <v>636</v>
      </c>
      <c r="F2" t="s">
        <v>804</v>
      </c>
      <c r="G2" t="s">
        <v>747</v>
      </c>
      <c r="J2" s="1" t="s">
        <v>853</v>
      </c>
    </row>
    <row r="3" spans="1:10" x14ac:dyDescent="0.3">
      <c r="A3" t="s">
        <v>697</v>
      </c>
      <c r="B3" t="s">
        <v>564</v>
      </c>
      <c r="C3" t="s">
        <v>637</v>
      </c>
      <c r="G3" t="s">
        <v>805</v>
      </c>
      <c r="J3" s="1" t="s">
        <v>867</v>
      </c>
    </row>
    <row r="4" spans="1:10" x14ac:dyDescent="0.3">
      <c r="B4" s="1" t="s">
        <v>503</v>
      </c>
      <c r="G4" t="s">
        <v>744</v>
      </c>
    </row>
    <row r="5" spans="1:10" x14ac:dyDescent="0.3">
      <c r="B5" t="s">
        <v>615</v>
      </c>
      <c r="G5" t="s">
        <v>742</v>
      </c>
    </row>
    <row r="6" spans="1:10" x14ac:dyDescent="0.3">
      <c r="B6" t="s">
        <v>611</v>
      </c>
      <c r="G6" t="s">
        <v>772</v>
      </c>
    </row>
    <row r="7" spans="1:10" x14ac:dyDescent="0.3">
      <c r="B7" t="s">
        <v>616</v>
      </c>
      <c r="G7" t="s">
        <v>789</v>
      </c>
    </row>
    <row r="8" spans="1:10" x14ac:dyDescent="0.3">
      <c r="B8" t="s">
        <v>612</v>
      </c>
    </row>
    <row r="9" spans="1:10" x14ac:dyDescent="0.3">
      <c r="F9" t="s">
        <v>749</v>
      </c>
      <c r="G9" t="s">
        <v>753</v>
      </c>
    </row>
    <row r="10" spans="1:10" x14ac:dyDescent="0.3">
      <c r="A10" t="s">
        <v>644</v>
      </c>
      <c r="B10" t="s">
        <v>646</v>
      </c>
      <c r="G10" t="s">
        <v>751</v>
      </c>
    </row>
    <row r="11" spans="1:10" x14ac:dyDescent="0.3">
      <c r="A11" t="s">
        <v>696</v>
      </c>
      <c r="B11" t="s">
        <v>645</v>
      </c>
      <c r="G11" t="s">
        <v>750</v>
      </c>
    </row>
    <row r="12" spans="1:10" x14ac:dyDescent="0.3">
      <c r="B12" t="s">
        <v>648</v>
      </c>
      <c r="G12" t="s">
        <v>752</v>
      </c>
    </row>
    <row r="13" spans="1:10" x14ac:dyDescent="0.3">
      <c r="B13" t="s">
        <v>650</v>
      </c>
      <c r="G13" t="s">
        <v>754</v>
      </c>
    </row>
    <row r="14" spans="1:10" x14ac:dyDescent="0.3">
      <c r="G14" t="s">
        <v>748</v>
      </c>
    </row>
    <row r="15" spans="1:10" x14ac:dyDescent="0.3">
      <c r="A15" t="s">
        <v>652</v>
      </c>
      <c r="B15" t="s">
        <v>516</v>
      </c>
    </row>
    <row r="16" spans="1:10" x14ac:dyDescent="0.3">
      <c r="A16" t="s">
        <v>866</v>
      </c>
      <c r="B16" t="s">
        <v>406</v>
      </c>
      <c r="F16" t="s">
        <v>755</v>
      </c>
      <c r="G16" t="s">
        <v>803</v>
      </c>
    </row>
    <row r="17" spans="1:7" x14ac:dyDescent="0.3">
      <c r="B17" t="s">
        <v>422</v>
      </c>
      <c r="G17" t="s">
        <v>792</v>
      </c>
    </row>
    <row r="18" spans="1:7" x14ac:dyDescent="0.3">
      <c r="B18" t="s">
        <v>425</v>
      </c>
    </row>
    <row r="19" spans="1:7" x14ac:dyDescent="0.3">
      <c r="B19" t="s">
        <v>654</v>
      </c>
    </row>
    <row r="20" spans="1:7" x14ac:dyDescent="0.3">
      <c r="B20" t="s">
        <v>668</v>
      </c>
      <c r="F20" t="s">
        <v>756</v>
      </c>
      <c r="G20" t="s">
        <v>759</v>
      </c>
    </row>
    <row r="21" spans="1:7" x14ac:dyDescent="0.3">
      <c r="B21" t="s">
        <v>657</v>
      </c>
      <c r="G21" t="s">
        <v>760</v>
      </c>
    </row>
    <row r="22" spans="1:7" x14ac:dyDescent="0.3">
      <c r="B22" t="s">
        <v>673</v>
      </c>
      <c r="G22" t="s">
        <v>766</v>
      </c>
    </row>
    <row r="23" spans="1:7" x14ac:dyDescent="0.3">
      <c r="B23" t="s">
        <v>419</v>
      </c>
      <c r="G23" t="s">
        <v>758</v>
      </c>
    </row>
    <row r="24" spans="1:7" x14ac:dyDescent="0.3">
      <c r="B24" t="s">
        <v>397</v>
      </c>
      <c r="G24" t="s">
        <v>761</v>
      </c>
    </row>
    <row r="25" spans="1:7" x14ac:dyDescent="0.3">
      <c r="B25" t="s">
        <v>398</v>
      </c>
      <c r="G25" t="s">
        <v>789</v>
      </c>
    </row>
    <row r="26" spans="1:7" x14ac:dyDescent="0.3">
      <c r="B26" t="s">
        <v>481</v>
      </c>
    </row>
    <row r="27" spans="1:7" x14ac:dyDescent="0.3">
      <c r="F27" t="s">
        <v>762</v>
      </c>
      <c r="G27" t="s">
        <v>763</v>
      </c>
    </row>
    <row r="28" spans="1:7" x14ac:dyDescent="0.3">
      <c r="B28" t="s">
        <v>656</v>
      </c>
      <c r="G28" t="s">
        <v>764</v>
      </c>
    </row>
    <row r="29" spans="1:7" x14ac:dyDescent="0.3">
      <c r="G29" t="s">
        <v>768</v>
      </c>
    </row>
    <row r="30" spans="1:7" x14ac:dyDescent="0.3">
      <c r="A30" t="s">
        <v>659</v>
      </c>
      <c r="B30" t="s">
        <v>10</v>
      </c>
      <c r="G30" t="s">
        <v>765</v>
      </c>
    </row>
    <row r="31" spans="1:7" x14ac:dyDescent="0.3">
      <c r="A31" t="s">
        <v>698</v>
      </c>
      <c r="B31" t="s">
        <v>570</v>
      </c>
      <c r="G31" t="s">
        <v>880</v>
      </c>
    </row>
    <row r="32" spans="1:7" x14ac:dyDescent="0.3">
      <c r="B32" t="s">
        <v>660</v>
      </c>
      <c r="G32" t="s">
        <v>748</v>
      </c>
    </row>
    <row r="34" spans="1:7" x14ac:dyDescent="0.3">
      <c r="A34" t="s">
        <v>661</v>
      </c>
      <c r="B34" t="s">
        <v>662</v>
      </c>
      <c r="F34" t="s">
        <v>770</v>
      </c>
      <c r="G34" t="s">
        <v>773</v>
      </c>
    </row>
    <row r="35" spans="1:7" x14ac:dyDescent="0.3">
      <c r="A35" t="s">
        <v>856</v>
      </c>
      <c r="B35" t="s">
        <v>857</v>
      </c>
      <c r="G35" t="s">
        <v>771</v>
      </c>
    </row>
    <row r="36" spans="1:7" x14ac:dyDescent="0.3">
      <c r="B36" t="s">
        <v>664</v>
      </c>
      <c r="G36" t="s">
        <v>772</v>
      </c>
    </row>
    <row r="37" spans="1:7" x14ac:dyDescent="0.3">
      <c r="B37" t="s">
        <v>858</v>
      </c>
      <c r="G37" t="s">
        <v>774</v>
      </c>
    </row>
    <row r="38" spans="1:7" x14ac:dyDescent="0.3">
      <c r="B38" t="s">
        <v>665</v>
      </c>
    </row>
    <row r="39" spans="1:7" x14ac:dyDescent="0.3">
      <c r="B39" t="s">
        <v>666</v>
      </c>
      <c r="F39" t="s">
        <v>775</v>
      </c>
      <c r="G39" t="s">
        <v>776</v>
      </c>
    </row>
    <row r="40" spans="1:7" x14ac:dyDescent="0.3">
      <c r="B40" t="s">
        <v>859</v>
      </c>
      <c r="G40" t="s">
        <v>777</v>
      </c>
    </row>
    <row r="41" spans="1:7" x14ac:dyDescent="0.3">
      <c r="B41" t="s">
        <v>860</v>
      </c>
      <c r="G41" t="s">
        <v>780</v>
      </c>
    </row>
    <row r="42" spans="1:7" x14ac:dyDescent="0.3">
      <c r="B42" t="s">
        <v>861</v>
      </c>
      <c r="G42" t="s">
        <v>806</v>
      </c>
    </row>
    <row r="43" spans="1:7" x14ac:dyDescent="0.3">
      <c r="B43" t="s">
        <v>667</v>
      </c>
      <c r="G43" t="s">
        <v>798</v>
      </c>
    </row>
    <row r="44" spans="1:7" x14ac:dyDescent="0.3">
      <c r="B44" t="s">
        <v>862</v>
      </c>
      <c r="G44" t="s">
        <v>807</v>
      </c>
    </row>
    <row r="45" spans="1:7" x14ac:dyDescent="0.3">
      <c r="B45" t="s">
        <v>684</v>
      </c>
      <c r="G45" t="s">
        <v>782</v>
      </c>
    </row>
    <row r="46" spans="1:7" x14ac:dyDescent="0.3">
      <c r="B46" t="s">
        <v>669</v>
      </c>
    </row>
    <row r="47" spans="1:7" x14ac:dyDescent="0.3">
      <c r="B47" t="s">
        <v>689</v>
      </c>
      <c r="F47" t="s">
        <v>783</v>
      </c>
      <c r="G47" t="s">
        <v>786</v>
      </c>
    </row>
    <row r="48" spans="1:7" x14ac:dyDescent="0.3">
      <c r="B48" t="s">
        <v>671</v>
      </c>
      <c r="G48" t="s">
        <v>797</v>
      </c>
    </row>
    <row r="49" spans="1:7" x14ac:dyDescent="0.3">
      <c r="B49" t="s">
        <v>672</v>
      </c>
      <c r="G49" t="s">
        <v>798</v>
      </c>
    </row>
    <row r="50" spans="1:7" x14ac:dyDescent="0.3">
      <c r="B50" t="s">
        <v>675</v>
      </c>
      <c r="G50" t="s">
        <v>807</v>
      </c>
    </row>
    <row r="51" spans="1:7" x14ac:dyDescent="0.3">
      <c r="B51" t="s">
        <v>676</v>
      </c>
      <c r="G51" t="s">
        <v>788</v>
      </c>
    </row>
    <row r="52" spans="1:7" x14ac:dyDescent="0.3">
      <c r="B52" t="s">
        <v>677</v>
      </c>
      <c r="G52" t="s">
        <v>782</v>
      </c>
    </row>
    <row r="53" spans="1:7" x14ac:dyDescent="0.3">
      <c r="B53" t="s">
        <v>678</v>
      </c>
    </row>
    <row r="54" spans="1:7" x14ac:dyDescent="0.3">
      <c r="B54" t="s">
        <v>680</v>
      </c>
      <c r="F54" t="s">
        <v>790</v>
      </c>
      <c r="G54" t="s">
        <v>881</v>
      </c>
    </row>
    <row r="55" spans="1:7" x14ac:dyDescent="0.3">
      <c r="G55" t="s">
        <v>792</v>
      </c>
    </row>
    <row r="56" spans="1:7" x14ac:dyDescent="0.3">
      <c r="A56" t="s">
        <v>868</v>
      </c>
      <c r="B56" t="s">
        <v>688</v>
      </c>
    </row>
    <row r="57" spans="1:7" x14ac:dyDescent="0.3">
      <c r="A57" t="s">
        <v>871</v>
      </c>
      <c r="B57" t="s">
        <v>686</v>
      </c>
      <c r="F57" t="s">
        <v>793</v>
      </c>
      <c r="G57" t="s">
        <v>809</v>
      </c>
    </row>
    <row r="58" spans="1:7" x14ac:dyDescent="0.3">
      <c r="B58" t="s">
        <v>687</v>
      </c>
      <c r="G58" t="s">
        <v>796</v>
      </c>
    </row>
    <row r="59" spans="1:7" x14ac:dyDescent="0.3">
      <c r="B59" t="s">
        <v>865</v>
      </c>
      <c r="G59" t="s">
        <v>798</v>
      </c>
    </row>
    <row r="60" spans="1:7" x14ac:dyDescent="0.3">
      <c r="G60" t="s">
        <v>810</v>
      </c>
    </row>
    <row r="61" spans="1:7" x14ac:dyDescent="0.3">
      <c r="A61" t="s">
        <v>869</v>
      </c>
      <c r="B61" t="s">
        <v>662</v>
      </c>
      <c r="G61" t="s">
        <v>788</v>
      </c>
    </row>
    <row r="62" spans="1:7" x14ac:dyDescent="0.3">
      <c r="A62" t="s">
        <v>872</v>
      </c>
      <c r="B62" t="s">
        <v>857</v>
      </c>
      <c r="G62" t="s">
        <v>782</v>
      </c>
    </row>
    <row r="63" spans="1:7" x14ac:dyDescent="0.3">
      <c r="B63" t="s">
        <v>664</v>
      </c>
    </row>
    <row r="64" spans="1:7" x14ac:dyDescent="0.3">
      <c r="B64" t="s">
        <v>858</v>
      </c>
      <c r="F64" t="s">
        <v>799</v>
      </c>
      <c r="G64" t="s">
        <v>882</v>
      </c>
    </row>
    <row r="65" spans="2:7" x14ac:dyDescent="0.3">
      <c r="B65" t="s">
        <v>665</v>
      </c>
      <c r="G65" t="s">
        <v>800</v>
      </c>
    </row>
    <row r="66" spans="2:7" x14ac:dyDescent="0.3">
      <c r="B66" t="s">
        <v>666</v>
      </c>
      <c r="G66" t="s">
        <v>798</v>
      </c>
    </row>
    <row r="67" spans="2:7" x14ac:dyDescent="0.3">
      <c r="B67" t="s">
        <v>860</v>
      </c>
      <c r="G67" t="s">
        <v>788</v>
      </c>
    </row>
    <row r="68" spans="2:7" x14ac:dyDescent="0.3">
      <c r="B68" t="s">
        <v>870</v>
      </c>
      <c r="G68" t="s">
        <v>802</v>
      </c>
    </row>
    <row r="69" spans="2:7" x14ac:dyDescent="0.3">
      <c r="B69" t="s">
        <v>861</v>
      </c>
    </row>
    <row r="70" spans="2:7" x14ac:dyDescent="0.3">
      <c r="B70" t="s">
        <v>667</v>
      </c>
    </row>
    <row r="71" spans="2:7" x14ac:dyDescent="0.3">
      <c r="B71" t="s">
        <v>862</v>
      </c>
    </row>
    <row r="72" spans="2:7" x14ac:dyDescent="0.3">
      <c r="B72" t="s">
        <v>424</v>
      </c>
    </row>
    <row r="73" spans="2:7" x14ac:dyDescent="0.3">
      <c r="B73" t="s">
        <v>653</v>
      </c>
    </row>
    <row r="74" spans="2:7" x14ac:dyDescent="0.3">
      <c r="B74" t="s">
        <v>426</v>
      </c>
    </row>
    <row r="75" spans="2:7" x14ac:dyDescent="0.3">
      <c r="B75" t="s">
        <v>655</v>
      </c>
    </row>
    <row r="76" spans="2:7" x14ac:dyDescent="0.3">
      <c r="B76" t="s">
        <v>682</v>
      </c>
    </row>
    <row r="77" spans="2:7" x14ac:dyDescent="0.3">
      <c r="B77" t="s">
        <v>854</v>
      </c>
    </row>
    <row r="78" spans="2:7" x14ac:dyDescent="0.3">
      <c r="B78" t="s">
        <v>683</v>
      </c>
    </row>
    <row r="79" spans="2:7" x14ac:dyDescent="0.3">
      <c r="B79" t="s">
        <v>863</v>
      </c>
    </row>
    <row r="80" spans="2:7" x14ac:dyDescent="0.3">
      <c r="B80" t="s">
        <v>684</v>
      </c>
    </row>
    <row r="81" spans="2:2" x14ac:dyDescent="0.3">
      <c r="B81" t="s">
        <v>669</v>
      </c>
    </row>
    <row r="82" spans="2:2" x14ac:dyDescent="0.3">
      <c r="B82" t="s">
        <v>688</v>
      </c>
    </row>
    <row r="83" spans="2:2" x14ac:dyDescent="0.3">
      <c r="B83" t="s">
        <v>689</v>
      </c>
    </row>
    <row r="84" spans="2:2" x14ac:dyDescent="0.3">
      <c r="B84" t="s">
        <v>691</v>
      </c>
    </row>
    <row r="85" spans="2:2" x14ac:dyDescent="0.3">
      <c r="B85" t="s">
        <v>658</v>
      </c>
    </row>
    <row r="86" spans="2:2" x14ac:dyDescent="0.3">
      <c r="B86" t="s">
        <v>692</v>
      </c>
    </row>
    <row r="87" spans="2:2" x14ac:dyDescent="0.3">
      <c r="B87" t="s">
        <v>864</v>
      </c>
    </row>
    <row r="88" spans="2:2" x14ac:dyDescent="0.3">
      <c r="B88" t="s">
        <v>693</v>
      </c>
    </row>
    <row r="89" spans="2:2" x14ac:dyDescent="0.3">
      <c r="B89" t="s">
        <v>671</v>
      </c>
    </row>
    <row r="90" spans="2:2" x14ac:dyDescent="0.3">
      <c r="B90" t="s">
        <v>672</v>
      </c>
    </row>
    <row r="91" spans="2:2" x14ac:dyDescent="0.3">
      <c r="B91" t="s">
        <v>675</v>
      </c>
    </row>
    <row r="92" spans="2:2" x14ac:dyDescent="0.3">
      <c r="B92" t="s">
        <v>676</v>
      </c>
    </row>
    <row r="93" spans="2:2" x14ac:dyDescent="0.3">
      <c r="B93" t="s">
        <v>677</v>
      </c>
    </row>
    <row r="94" spans="2:2" x14ac:dyDescent="0.3">
      <c r="B94" t="s">
        <v>678</v>
      </c>
    </row>
    <row r="95" spans="2:2" x14ac:dyDescent="0.3">
      <c r="B95" t="s">
        <v>680</v>
      </c>
    </row>
    <row r="96" spans="2:2" x14ac:dyDescent="0.3">
      <c r="B96" t="s">
        <v>686</v>
      </c>
    </row>
    <row r="97" spans="2:2" x14ac:dyDescent="0.3">
      <c r="B97" t="s">
        <v>687</v>
      </c>
    </row>
    <row r="98" spans="2:2" x14ac:dyDescent="0.3">
      <c r="B98" t="s">
        <v>865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6D07E-DFE4-47B9-BEEF-534D664B07C7}">
  <dimension ref="A1:F65"/>
  <sheetViews>
    <sheetView topLeftCell="A19" workbookViewId="0">
      <selection activeCell="C31" sqref="C31"/>
    </sheetView>
  </sheetViews>
  <sheetFormatPr defaultRowHeight="14.4" x14ac:dyDescent="0.3"/>
  <cols>
    <col min="1" max="1" width="16.5546875" bestFit="1" customWidth="1"/>
    <col min="2" max="2" width="9.88671875" bestFit="1" customWidth="1"/>
    <col min="5" max="5" width="23.33203125" bestFit="1" customWidth="1"/>
  </cols>
  <sheetData>
    <row r="1" spans="1:6" x14ac:dyDescent="0.3">
      <c r="A1" t="s">
        <v>633</v>
      </c>
      <c r="B1" t="s">
        <v>634</v>
      </c>
      <c r="E1" t="s">
        <v>739</v>
      </c>
      <c r="F1" t="s">
        <v>740</v>
      </c>
    </row>
    <row r="2" spans="1:6" x14ac:dyDescent="0.3">
      <c r="A2" t="s">
        <v>635</v>
      </c>
      <c r="B2" t="s">
        <v>591</v>
      </c>
      <c r="E2" t="s">
        <v>804</v>
      </c>
      <c r="F2" t="s">
        <v>812</v>
      </c>
    </row>
    <row r="3" spans="1:6" x14ac:dyDescent="0.3">
      <c r="A3" t="s">
        <v>715</v>
      </c>
      <c r="B3" t="s">
        <v>466</v>
      </c>
      <c r="F3" t="s">
        <v>747</v>
      </c>
    </row>
    <row r="4" spans="1:6" x14ac:dyDescent="0.3">
      <c r="B4" t="s">
        <v>0</v>
      </c>
      <c r="F4" t="s">
        <v>746</v>
      </c>
    </row>
    <row r="5" spans="1:6" x14ac:dyDescent="0.3">
      <c r="B5" t="s">
        <v>700</v>
      </c>
      <c r="F5" t="s">
        <v>744</v>
      </c>
    </row>
    <row r="6" spans="1:6" x14ac:dyDescent="0.3">
      <c r="B6" t="s">
        <v>699</v>
      </c>
      <c r="F6" t="s">
        <v>813</v>
      </c>
    </row>
    <row r="7" spans="1:6" x14ac:dyDescent="0.3">
      <c r="F7" t="s">
        <v>789</v>
      </c>
    </row>
    <row r="8" spans="1:6" x14ac:dyDescent="0.3">
      <c r="A8" t="s">
        <v>701</v>
      </c>
      <c r="B8" t="s">
        <v>703</v>
      </c>
    </row>
    <row r="9" spans="1:6" x14ac:dyDescent="0.3">
      <c r="A9" t="s">
        <v>716</v>
      </c>
      <c r="B9" t="s">
        <v>702</v>
      </c>
      <c r="E9" t="s">
        <v>749</v>
      </c>
      <c r="F9" t="s">
        <v>814</v>
      </c>
    </row>
    <row r="10" spans="1:6" x14ac:dyDescent="0.3">
      <c r="F10" t="s">
        <v>751</v>
      </c>
    </row>
    <row r="11" spans="1:6" x14ac:dyDescent="0.3">
      <c r="A11" t="s">
        <v>644</v>
      </c>
      <c r="B11" t="s">
        <v>646</v>
      </c>
      <c r="F11" t="s">
        <v>815</v>
      </c>
    </row>
    <row r="12" spans="1:6" x14ac:dyDescent="0.3">
      <c r="A12" t="s">
        <v>716</v>
      </c>
      <c r="B12" t="s">
        <v>645</v>
      </c>
      <c r="F12" t="s">
        <v>816</v>
      </c>
    </row>
    <row r="13" spans="1:6" x14ac:dyDescent="0.3">
      <c r="F13" t="s">
        <v>765</v>
      </c>
    </row>
    <row r="14" spans="1:6" x14ac:dyDescent="0.3">
      <c r="A14" t="s">
        <v>652</v>
      </c>
      <c r="B14" s="2" t="s">
        <v>427</v>
      </c>
      <c r="F14" t="s">
        <v>782</v>
      </c>
    </row>
    <row r="15" spans="1:6" x14ac:dyDescent="0.3">
      <c r="A15" t="s">
        <v>714</v>
      </c>
      <c r="B15" s="2" t="s">
        <v>428</v>
      </c>
    </row>
    <row r="16" spans="1:6" x14ac:dyDescent="0.3">
      <c r="B16" s="2" t="s">
        <v>429</v>
      </c>
      <c r="E16" t="s">
        <v>755</v>
      </c>
      <c r="F16" t="s">
        <v>803</v>
      </c>
    </row>
    <row r="17" spans="2:6" x14ac:dyDescent="0.3">
      <c r="B17" s="2" t="s">
        <v>708</v>
      </c>
      <c r="F17" t="s">
        <v>792</v>
      </c>
    </row>
    <row r="18" spans="2:6" x14ac:dyDescent="0.3">
      <c r="B18" s="2" t="s">
        <v>704</v>
      </c>
    </row>
    <row r="19" spans="2:6" x14ac:dyDescent="0.3">
      <c r="B19" s="2" t="s">
        <v>458</v>
      </c>
      <c r="E19" t="s">
        <v>756</v>
      </c>
      <c r="F19" t="s">
        <v>818</v>
      </c>
    </row>
    <row r="20" spans="2:6" x14ac:dyDescent="0.3">
      <c r="B20" s="2" t="s">
        <v>705</v>
      </c>
      <c r="F20" t="s">
        <v>817</v>
      </c>
    </row>
    <row r="21" spans="2:6" x14ac:dyDescent="0.3">
      <c r="B21" s="2" t="s">
        <v>706</v>
      </c>
      <c r="F21" t="s">
        <v>819</v>
      </c>
    </row>
    <row r="22" spans="2:6" x14ac:dyDescent="0.3">
      <c r="B22" s="2" t="s">
        <v>707</v>
      </c>
      <c r="F22" t="s">
        <v>820</v>
      </c>
    </row>
    <row r="23" spans="2:6" x14ac:dyDescent="0.3">
      <c r="B23" s="2" t="s">
        <v>712</v>
      </c>
      <c r="F23" t="s">
        <v>802</v>
      </c>
    </row>
    <row r="24" spans="2:6" x14ac:dyDescent="0.3">
      <c r="B24" s="2" t="s">
        <v>498</v>
      </c>
    </row>
    <row r="25" spans="2:6" x14ac:dyDescent="0.3">
      <c r="B25" s="2" t="s">
        <v>496</v>
      </c>
      <c r="E25" t="s">
        <v>762</v>
      </c>
      <c r="F25" t="s">
        <v>821</v>
      </c>
    </row>
    <row r="26" spans="2:6" x14ac:dyDescent="0.3">
      <c r="B26" s="2" t="s">
        <v>709</v>
      </c>
      <c r="F26" t="s">
        <v>822</v>
      </c>
    </row>
    <row r="27" spans="2:6" x14ac:dyDescent="0.3">
      <c r="B27" s="2" t="s">
        <v>463</v>
      </c>
      <c r="F27" t="s">
        <v>823</v>
      </c>
    </row>
    <row r="28" spans="2:6" x14ac:dyDescent="0.3">
      <c r="B28" s="2" t="s">
        <v>485</v>
      </c>
      <c r="F28" t="s">
        <v>824</v>
      </c>
    </row>
    <row r="29" spans="2:6" x14ac:dyDescent="0.3">
      <c r="B29" s="2" t="s">
        <v>404</v>
      </c>
      <c r="F29" t="s">
        <v>802</v>
      </c>
    </row>
    <row r="30" spans="2:6" x14ac:dyDescent="0.3">
      <c r="B30" s="2" t="s">
        <v>530</v>
      </c>
    </row>
    <row r="31" spans="2:6" x14ac:dyDescent="0.3">
      <c r="B31" s="2" t="s">
        <v>710</v>
      </c>
      <c r="E31" t="s">
        <v>770</v>
      </c>
      <c r="F31" t="s">
        <v>788</v>
      </c>
    </row>
    <row r="32" spans="2:6" x14ac:dyDescent="0.3">
      <c r="B32" s="2" t="s">
        <v>713</v>
      </c>
      <c r="F32" t="s">
        <v>806</v>
      </c>
    </row>
    <row r="33" spans="1:6" x14ac:dyDescent="0.3">
      <c r="B33" s="2" t="s">
        <v>711</v>
      </c>
      <c r="F33" t="s">
        <v>825</v>
      </c>
    </row>
    <row r="34" spans="1:6" x14ac:dyDescent="0.3">
      <c r="F34" t="s">
        <v>774</v>
      </c>
    </row>
    <row r="35" spans="1:6" x14ac:dyDescent="0.3">
      <c r="A35" t="s">
        <v>659</v>
      </c>
      <c r="B35" t="s">
        <v>10</v>
      </c>
    </row>
    <row r="36" spans="1:6" x14ac:dyDescent="0.3">
      <c r="A36" t="s">
        <v>698</v>
      </c>
      <c r="B36" t="s">
        <v>570</v>
      </c>
      <c r="E36" t="s">
        <v>775</v>
      </c>
      <c r="F36" t="s">
        <v>827</v>
      </c>
    </row>
    <row r="37" spans="1:6" x14ac:dyDescent="0.3">
      <c r="B37" t="s">
        <v>660</v>
      </c>
      <c r="F37" t="s">
        <v>828</v>
      </c>
    </row>
    <row r="38" spans="1:6" x14ac:dyDescent="0.3">
      <c r="F38" t="s">
        <v>829</v>
      </c>
    </row>
    <row r="39" spans="1:6" x14ac:dyDescent="0.3">
      <c r="A39" t="s">
        <v>717</v>
      </c>
      <c r="B39" t="s">
        <v>718</v>
      </c>
      <c r="F39" t="s">
        <v>826</v>
      </c>
    </row>
    <row r="40" spans="1:6" x14ac:dyDescent="0.3">
      <c r="B40" t="s">
        <v>719</v>
      </c>
      <c r="F40" t="s">
        <v>830</v>
      </c>
    </row>
    <row r="41" spans="1:6" x14ac:dyDescent="0.3">
      <c r="B41" t="s">
        <v>721</v>
      </c>
      <c r="F41" t="s">
        <v>782</v>
      </c>
    </row>
    <row r="42" spans="1:6" x14ac:dyDescent="0.3">
      <c r="B42" t="s">
        <v>723</v>
      </c>
    </row>
    <row r="43" spans="1:6" x14ac:dyDescent="0.3">
      <c r="B43" t="s">
        <v>722</v>
      </c>
      <c r="E43" t="s">
        <v>783</v>
      </c>
      <c r="F43" t="s">
        <v>831</v>
      </c>
    </row>
    <row r="44" spans="1:6" x14ac:dyDescent="0.3">
      <c r="B44" t="s">
        <v>720</v>
      </c>
      <c r="F44" t="s">
        <v>832</v>
      </c>
    </row>
    <row r="45" spans="1:6" x14ac:dyDescent="0.3">
      <c r="F45" t="s">
        <v>833</v>
      </c>
    </row>
    <row r="46" spans="1:6" x14ac:dyDescent="0.3">
      <c r="F46" t="s">
        <v>834</v>
      </c>
    </row>
    <row r="47" spans="1:6" x14ac:dyDescent="0.3">
      <c r="F47" t="s">
        <v>849</v>
      </c>
    </row>
    <row r="48" spans="1:6" x14ac:dyDescent="0.3">
      <c r="F48" t="s">
        <v>797</v>
      </c>
    </row>
    <row r="49" spans="5:6" x14ac:dyDescent="0.3">
      <c r="F49" t="s">
        <v>769</v>
      </c>
    </row>
    <row r="51" spans="5:6" x14ac:dyDescent="0.3">
      <c r="E51" t="s">
        <v>790</v>
      </c>
      <c r="F51" t="s">
        <v>836</v>
      </c>
    </row>
    <row r="52" spans="5:6" x14ac:dyDescent="0.3">
      <c r="F52" t="s">
        <v>792</v>
      </c>
    </row>
    <row r="54" spans="5:6" x14ac:dyDescent="0.3">
      <c r="E54" t="s">
        <v>793</v>
      </c>
      <c r="F54" t="s">
        <v>835</v>
      </c>
    </row>
    <row r="55" spans="5:6" x14ac:dyDescent="0.3">
      <c r="F55" t="s">
        <v>837</v>
      </c>
    </row>
    <row r="56" spans="5:6" x14ac:dyDescent="0.3">
      <c r="F56" t="s">
        <v>838</v>
      </c>
    </row>
    <row r="57" spans="5:6" x14ac:dyDescent="0.3">
      <c r="F57" t="s">
        <v>839</v>
      </c>
    </row>
    <row r="58" spans="5:6" x14ac:dyDescent="0.3">
      <c r="F58" t="s">
        <v>788</v>
      </c>
    </row>
    <row r="59" spans="5:6" x14ac:dyDescent="0.3">
      <c r="F59" t="s">
        <v>782</v>
      </c>
    </row>
    <row r="61" spans="5:6" x14ac:dyDescent="0.3">
      <c r="E61" t="s">
        <v>799</v>
      </c>
      <c r="F61" t="s">
        <v>835</v>
      </c>
    </row>
    <row r="62" spans="5:6" x14ac:dyDescent="0.3">
      <c r="F62" t="s">
        <v>840</v>
      </c>
    </row>
    <row r="63" spans="5:6" x14ac:dyDescent="0.3">
      <c r="F63" t="s">
        <v>788</v>
      </c>
    </row>
    <row r="64" spans="5:6" x14ac:dyDescent="0.3">
      <c r="F64" t="s">
        <v>841</v>
      </c>
    </row>
    <row r="65" spans="6:6" x14ac:dyDescent="0.3">
      <c r="F65" t="s">
        <v>789</v>
      </c>
    </row>
  </sheetData>
  <sortState xmlns:xlrd2="http://schemas.microsoft.com/office/spreadsheetml/2017/richdata2" ref="F61:F64">
    <sortCondition ref="F61:F64"/>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C30C5-9B65-405B-85C4-0F2FF7E95C2B}">
  <dimension ref="A1:I65"/>
  <sheetViews>
    <sheetView topLeftCell="A43" workbookViewId="0">
      <selection activeCell="M67" sqref="M67"/>
    </sheetView>
  </sheetViews>
  <sheetFormatPr defaultRowHeight="14.4" x14ac:dyDescent="0.3"/>
  <cols>
    <col min="1" max="1" width="16.5546875" bestFit="1" customWidth="1"/>
    <col min="2" max="2" width="9.88671875" bestFit="1" customWidth="1"/>
    <col min="5" max="5" width="23.33203125" bestFit="1" customWidth="1"/>
  </cols>
  <sheetData>
    <row r="1" spans="1:9" x14ac:dyDescent="0.3">
      <c r="A1" t="s">
        <v>633</v>
      </c>
      <c r="B1" t="s">
        <v>634</v>
      </c>
      <c r="E1" t="s">
        <v>739</v>
      </c>
      <c r="F1" t="s">
        <v>740</v>
      </c>
      <c r="I1" s="1" t="s">
        <v>852</v>
      </c>
    </row>
    <row r="2" spans="1:9" x14ac:dyDescent="0.3">
      <c r="A2" t="s">
        <v>635</v>
      </c>
      <c r="B2" t="s">
        <v>591</v>
      </c>
      <c r="E2" t="s">
        <v>804</v>
      </c>
      <c r="F2" t="s">
        <v>812</v>
      </c>
      <c r="I2" s="1" t="s">
        <v>877</v>
      </c>
    </row>
    <row r="3" spans="1:9" x14ac:dyDescent="0.3">
      <c r="A3" t="s">
        <v>715</v>
      </c>
      <c r="B3" t="s">
        <v>466</v>
      </c>
      <c r="F3" t="s">
        <v>747</v>
      </c>
    </row>
    <row r="4" spans="1:9" x14ac:dyDescent="0.3">
      <c r="B4" t="s">
        <v>0</v>
      </c>
      <c r="F4" t="s">
        <v>746</v>
      </c>
    </row>
    <row r="5" spans="1:9" x14ac:dyDescent="0.3">
      <c r="B5" t="s">
        <v>700</v>
      </c>
      <c r="F5" t="s">
        <v>744</v>
      </c>
    </row>
    <row r="6" spans="1:9" x14ac:dyDescent="0.3">
      <c r="B6" t="s">
        <v>699</v>
      </c>
      <c r="F6" t="s">
        <v>813</v>
      </c>
    </row>
    <row r="7" spans="1:9" x14ac:dyDescent="0.3">
      <c r="F7" t="s">
        <v>789</v>
      </c>
    </row>
    <row r="8" spans="1:9" x14ac:dyDescent="0.3">
      <c r="A8" t="s">
        <v>701</v>
      </c>
      <c r="B8" t="s">
        <v>703</v>
      </c>
    </row>
    <row r="9" spans="1:9" x14ac:dyDescent="0.3">
      <c r="A9" t="s">
        <v>716</v>
      </c>
      <c r="B9" t="s">
        <v>702</v>
      </c>
      <c r="E9" t="s">
        <v>749</v>
      </c>
      <c r="F9" t="s">
        <v>814</v>
      </c>
    </row>
    <row r="10" spans="1:9" x14ac:dyDescent="0.3">
      <c r="F10" t="s">
        <v>815</v>
      </c>
    </row>
    <row r="11" spans="1:9" x14ac:dyDescent="0.3">
      <c r="A11" t="s">
        <v>644</v>
      </c>
      <c r="B11" t="s">
        <v>646</v>
      </c>
      <c r="F11" t="s">
        <v>751</v>
      </c>
    </row>
    <row r="12" spans="1:9" x14ac:dyDescent="0.3">
      <c r="A12" t="s">
        <v>716</v>
      </c>
      <c r="B12" t="s">
        <v>645</v>
      </c>
      <c r="F12" t="s">
        <v>816</v>
      </c>
    </row>
    <row r="13" spans="1:9" x14ac:dyDescent="0.3">
      <c r="F13" t="s">
        <v>765</v>
      </c>
    </row>
    <row r="14" spans="1:9" x14ac:dyDescent="0.3">
      <c r="A14" t="s">
        <v>652</v>
      </c>
      <c r="B14" s="2" t="s">
        <v>427</v>
      </c>
      <c r="F14" t="s">
        <v>782</v>
      </c>
    </row>
    <row r="15" spans="1:9" x14ac:dyDescent="0.3">
      <c r="A15" t="s">
        <v>714</v>
      </c>
      <c r="B15" s="2" t="s">
        <v>428</v>
      </c>
    </row>
    <row r="16" spans="1:9" x14ac:dyDescent="0.3">
      <c r="B16" s="2" t="s">
        <v>429</v>
      </c>
      <c r="E16" t="s">
        <v>755</v>
      </c>
      <c r="F16" t="s">
        <v>803</v>
      </c>
    </row>
    <row r="17" spans="2:6" x14ac:dyDescent="0.3">
      <c r="B17" s="2" t="s">
        <v>708</v>
      </c>
      <c r="F17" t="s">
        <v>792</v>
      </c>
    </row>
    <row r="18" spans="2:6" x14ac:dyDescent="0.3">
      <c r="B18" s="2" t="s">
        <v>704</v>
      </c>
    </row>
    <row r="19" spans="2:6" x14ac:dyDescent="0.3">
      <c r="B19" s="2" t="s">
        <v>458</v>
      </c>
      <c r="E19" t="s">
        <v>756</v>
      </c>
      <c r="F19" t="s">
        <v>817</v>
      </c>
    </row>
    <row r="20" spans="2:6" x14ac:dyDescent="0.3">
      <c r="B20" s="2" t="s">
        <v>705</v>
      </c>
      <c r="F20" t="s">
        <v>818</v>
      </c>
    </row>
    <row r="21" spans="2:6" x14ac:dyDescent="0.3">
      <c r="B21" s="2" t="s">
        <v>706</v>
      </c>
      <c r="F21" t="s">
        <v>819</v>
      </c>
    </row>
    <row r="22" spans="2:6" x14ac:dyDescent="0.3">
      <c r="B22" s="2" t="s">
        <v>707</v>
      </c>
      <c r="F22" t="s">
        <v>820</v>
      </c>
    </row>
    <row r="23" spans="2:6" x14ac:dyDescent="0.3">
      <c r="B23" s="2" t="s">
        <v>712</v>
      </c>
      <c r="F23" t="s">
        <v>802</v>
      </c>
    </row>
    <row r="24" spans="2:6" x14ac:dyDescent="0.3">
      <c r="B24" s="2" t="s">
        <v>498</v>
      </c>
    </row>
    <row r="25" spans="2:6" x14ac:dyDescent="0.3">
      <c r="B25" s="2" t="s">
        <v>496</v>
      </c>
      <c r="E25" t="s">
        <v>762</v>
      </c>
      <c r="F25" t="s">
        <v>821</v>
      </c>
    </row>
    <row r="26" spans="2:6" x14ac:dyDescent="0.3">
      <c r="B26" s="2" t="s">
        <v>709</v>
      </c>
      <c r="F26" t="s">
        <v>822</v>
      </c>
    </row>
    <row r="27" spans="2:6" x14ac:dyDescent="0.3">
      <c r="B27" s="2" t="s">
        <v>463</v>
      </c>
      <c r="F27" t="s">
        <v>823</v>
      </c>
    </row>
    <row r="28" spans="2:6" x14ac:dyDescent="0.3">
      <c r="B28" s="2" t="s">
        <v>485</v>
      </c>
      <c r="F28" t="s">
        <v>824</v>
      </c>
    </row>
    <row r="29" spans="2:6" x14ac:dyDescent="0.3">
      <c r="B29" s="2" t="s">
        <v>404</v>
      </c>
      <c r="F29" t="s">
        <v>802</v>
      </c>
    </row>
    <row r="30" spans="2:6" x14ac:dyDescent="0.3">
      <c r="B30" s="2" t="s">
        <v>530</v>
      </c>
    </row>
    <row r="31" spans="2:6" x14ac:dyDescent="0.3">
      <c r="B31" s="2" t="s">
        <v>710</v>
      </c>
      <c r="E31" t="s">
        <v>770</v>
      </c>
      <c r="F31" t="s">
        <v>806</v>
      </c>
    </row>
    <row r="32" spans="2:6" x14ac:dyDescent="0.3">
      <c r="B32" s="2" t="s">
        <v>713</v>
      </c>
      <c r="F32" t="s">
        <v>825</v>
      </c>
    </row>
    <row r="33" spans="1:6" x14ac:dyDescent="0.3">
      <c r="B33" s="2" t="s">
        <v>711</v>
      </c>
      <c r="F33" t="s">
        <v>788</v>
      </c>
    </row>
    <row r="34" spans="1:6" x14ac:dyDescent="0.3">
      <c r="F34" t="s">
        <v>774</v>
      </c>
    </row>
    <row r="35" spans="1:6" x14ac:dyDescent="0.3">
      <c r="A35" t="s">
        <v>659</v>
      </c>
      <c r="B35" t="s">
        <v>10</v>
      </c>
    </row>
    <row r="36" spans="1:6" x14ac:dyDescent="0.3">
      <c r="A36" t="s">
        <v>698</v>
      </c>
      <c r="B36" t="s">
        <v>570</v>
      </c>
      <c r="E36" t="s">
        <v>775</v>
      </c>
      <c r="F36" t="s">
        <v>827</v>
      </c>
    </row>
    <row r="37" spans="1:6" x14ac:dyDescent="0.3">
      <c r="B37" t="s">
        <v>660</v>
      </c>
      <c r="F37" t="s">
        <v>828</v>
      </c>
    </row>
    <row r="38" spans="1:6" x14ac:dyDescent="0.3">
      <c r="F38" t="s">
        <v>829</v>
      </c>
    </row>
    <row r="39" spans="1:6" x14ac:dyDescent="0.3">
      <c r="A39" t="s">
        <v>717</v>
      </c>
      <c r="B39" t="s">
        <v>729</v>
      </c>
      <c r="F39" t="s">
        <v>826</v>
      </c>
    </row>
    <row r="40" spans="1:6" x14ac:dyDescent="0.3">
      <c r="B40" t="s">
        <v>732</v>
      </c>
      <c r="F40" t="s">
        <v>830</v>
      </c>
    </row>
    <row r="41" spans="1:6" x14ac:dyDescent="0.3">
      <c r="B41" t="s">
        <v>873</v>
      </c>
      <c r="F41" t="s">
        <v>782</v>
      </c>
    </row>
    <row r="42" spans="1:6" x14ac:dyDescent="0.3">
      <c r="B42" t="s">
        <v>874</v>
      </c>
    </row>
    <row r="43" spans="1:6" x14ac:dyDescent="0.3">
      <c r="B43" t="s">
        <v>736</v>
      </c>
      <c r="E43" t="s">
        <v>783</v>
      </c>
      <c r="F43" t="s">
        <v>831</v>
      </c>
    </row>
    <row r="44" spans="1:6" x14ac:dyDescent="0.3">
      <c r="B44" t="s">
        <v>875</v>
      </c>
      <c r="F44" t="s">
        <v>832</v>
      </c>
    </row>
    <row r="45" spans="1:6" x14ac:dyDescent="0.3">
      <c r="B45" t="s">
        <v>718</v>
      </c>
      <c r="F45" t="s">
        <v>833</v>
      </c>
    </row>
    <row r="46" spans="1:6" x14ac:dyDescent="0.3">
      <c r="B46" t="s">
        <v>719</v>
      </c>
      <c r="F46" t="s">
        <v>834</v>
      </c>
    </row>
    <row r="47" spans="1:6" x14ac:dyDescent="0.3">
      <c r="B47" t="s">
        <v>731</v>
      </c>
      <c r="F47" t="s">
        <v>797</v>
      </c>
    </row>
    <row r="48" spans="1:6" x14ac:dyDescent="0.3">
      <c r="B48" t="s">
        <v>720</v>
      </c>
      <c r="F48" t="s">
        <v>835</v>
      </c>
    </row>
    <row r="49" spans="2:6" x14ac:dyDescent="0.3">
      <c r="B49" t="s">
        <v>721</v>
      </c>
      <c r="F49" t="s">
        <v>769</v>
      </c>
    </row>
    <row r="50" spans="2:6" x14ac:dyDescent="0.3">
      <c r="B50" t="s">
        <v>876</v>
      </c>
    </row>
    <row r="51" spans="2:6" x14ac:dyDescent="0.3">
      <c r="B51" t="s">
        <v>722</v>
      </c>
      <c r="E51" t="s">
        <v>790</v>
      </c>
      <c r="F51" t="s">
        <v>836</v>
      </c>
    </row>
    <row r="52" spans="2:6" x14ac:dyDescent="0.3">
      <c r="B52" t="s">
        <v>723</v>
      </c>
      <c r="F52" t="s">
        <v>792</v>
      </c>
    </row>
    <row r="54" spans="2:6" x14ac:dyDescent="0.3">
      <c r="E54" t="s">
        <v>793</v>
      </c>
      <c r="F54" t="s">
        <v>837</v>
      </c>
    </row>
    <row r="55" spans="2:6" x14ac:dyDescent="0.3">
      <c r="F55" t="s">
        <v>838</v>
      </c>
    </row>
    <row r="56" spans="2:6" x14ac:dyDescent="0.3">
      <c r="F56" t="s">
        <v>839</v>
      </c>
    </row>
    <row r="57" spans="2:6" x14ac:dyDescent="0.3">
      <c r="F57" t="s">
        <v>835</v>
      </c>
    </row>
    <row r="58" spans="2:6" x14ac:dyDescent="0.3">
      <c r="F58" t="s">
        <v>788</v>
      </c>
    </row>
    <row r="59" spans="2:6" x14ac:dyDescent="0.3">
      <c r="F59" t="s">
        <v>782</v>
      </c>
    </row>
    <row r="61" spans="2:6" x14ac:dyDescent="0.3">
      <c r="E61" t="s">
        <v>799</v>
      </c>
      <c r="F61" t="s">
        <v>840</v>
      </c>
    </row>
    <row r="62" spans="2:6" x14ac:dyDescent="0.3">
      <c r="F62" t="s">
        <v>841</v>
      </c>
    </row>
    <row r="63" spans="2:6" x14ac:dyDescent="0.3">
      <c r="F63" t="s">
        <v>835</v>
      </c>
    </row>
    <row r="64" spans="2:6" x14ac:dyDescent="0.3">
      <c r="F64" t="s">
        <v>788</v>
      </c>
    </row>
    <row r="65" spans="6:6" x14ac:dyDescent="0.3">
      <c r="F65" t="s">
        <v>789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1C4D4-5CB8-47C2-A2A6-F517CD4789D9}">
  <dimension ref="A1:F65"/>
  <sheetViews>
    <sheetView topLeftCell="A46" workbookViewId="0">
      <selection activeCell="N58" sqref="N58"/>
    </sheetView>
  </sheetViews>
  <sheetFormatPr defaultRowHeight="14.4" x14ac:dyDescent="0.3"/>
  <cols>
    <col min="1" max="1" width="15.21875" bestFit="1" customWidth="1"/>
    <col min="2" max="2" width="9.88671875" bestFit="1" customWidth="1"/>
    <col min="5" max="5" width="23.33203125" bestFit="1" customWidth="1"/>
  </cols>
  <sheetData>
    <row r="1" spans="1:6" x14ac:dyDescent="0.3">
      <c r="A1" t="s">
        <v>633</v>
      </c>
      <c r="B1" t="s">
        <v>634</v>
      </c>
      <c r="E1" t="s">
        <v>739</v>
      </c>
      <c r="F1" t="s">
        <v>740</v>
      </c>
    </row>
    <row r="2" spans="1:6" x14ac:dyDescent="0.3">
      <c r="A2" t="s">
        <v>635</v>
      </c>
      <c r="B2" t="s">
        <v>591</v>
      </c>
      <c r="E2" t="s">
        <v>804</v>
      </c>
      <c r="F2" t="s">
        <v>812</v>
      </c>
    </row>
    <row r="3" spans="1:6" x14ac:dyDescent="0.3">
      <c r="A3" t="s">
        <v>715</v>
      </c>
      <c r="B3" t="s">
        <v>466</v>
      </c>
      <c r="F3" t="s">
        <v>747</v>
      </c>
    </row>
    <row r="4" spans="1:6" x14ac:dyDescent="0.3">
      <c r="B4" t="s">
        <v>0</v>
      </c>
      <c r="F4" t="s">
        <v>746</v>
      </c>
    </row>
    <row r="5" spans="1:6" x14ac:dyDescent="0.3">
      <c r="B5" t="s">
        <v>700</v>
      </c>
      <c r="F5" t="s">
        <v>744</v>
      </c>
    </row>
    <row r="6" spans="1:6" x14ac:dyDescent="0.3">
      <c r="B6" t="s">
        <v>699</v>
      </c>
      <c r="F6" t="s">
        <v>813</v>
      </c>
    </row>
    <row r="7" spans="1:6" x14ac:dyDescent="0.3">
      <c r="F7" t="s">
        <v>789</v>
      </c>
    </row>
    <row r="8" spans="1:6" x14ac:dyDescent="0.3">
      <c r="A8" t="s">
        <v>701</v>
      </c>
      <c r="B8" t="s">
        <v>703</v>
      </c>
    </row>
    <row r="9" spans="1:6" x14ac:dyDescent="0.3">
      <c r="A9" t="s">
        <v>698</v>
      </c>
      <c r="B9" t="s">
        <v>724</v>
      </c>
      <c r="E9" t="s">
        <v>749</v>
      </c>
      <c r="F9" t="s">
        <v>814</v>
      </c>
    </row>
    <row r="10" spans="1:6" x14ac:dyDescent="0.3">
      <c r="B10" t="s">
        <v>702</v>
      </c>
      <c r="F10" t="s">
        <v>751</v>
      </c>
    </row>
    <row r="11" spans="1:6" x14ac:dyDescent="0.3">
      <c r="F11" t="s">
        <v>815</v>
      </c>
    </row>
    <row r="12" spans="1:6" x14ac:dyDescent="0.3">
      <c r="A12" t="s">
        <v>644</v>
      </c>
      <c r="B12" t="s">
        <v>646</v>
      </c>
      <c r="F12" t="s">
        <v>816</v>
      </c>
    </row>
    <row r="13" spans="1:6" x14ac:dyDescent="0.3">
      <c r="A13" t="s">
        <v>716</v>
      </c>
      <c r="B13" t="s">
        <v>645</v>
      </c>
      <c r="F13" t="s">
        <v>765</v>
      </c>
    </row>
    <row r="14" spans="1:6" x14ac:dyDescent="0.3">
      <c r="F14" t="s">
        <v>782</v>
      </c>
    </row>
    <row r="15" spans="1:6" x14ac:dyDescent="0.3">
      <c r="A15" t="s">
        <v>652</v>
      </c>
      <c r="B15" t="s">
        <v>427</v>
      </c>
    </row>
    <row r="16" spans="1:6" x14ac:dyDescent="0.3">
      <c r="A16" t="s">
        <v>714</v>
      </c>
      <c r="B16" t="s">
        <v>428</v>
      </c>
      <c r="E16" t="s">
        <v>755</v>
      </c>
      <c r="F16" t="s">
        <v>803</v>
      </c>
    </row>
    <row r="17" spans="2:6" x14ac:dyDescent="0.3">
      <c r="B17" t="s">
        <v>429</v>
      </c>
      <c r="F17" t="s">
        <v>792</v>
      </c>
    </row>
    <row r="18" spans="2:6" x14ac:dyDescent="0.3">
      <c r="B18" t="s">
        <v>708</v>
      </c>
    </row>
    <row r="19" spans="2:6" x14ac:dyDescent="0.3">
      <c r="B19" t="s">
        <v>704</v>
      </c>
      <c r="E19" t="s">
        <v>756</v>
      </c>
      <c r="F19" t="s">
        <v>818</v>
      </c>
    </row>
    <row r="20" spans="2:6" x14ac:dyDescent="0.3">
      <c r="B20" t="s">
        <v>725</v>
      </c>
      <c r="F20" t="s">
        <v>817</v>
      </c>
    </row>
    <row r="21" spans="2:6" x14ac:dyDescent="0.3">
      <c r="B21" t="s">
        <v>726</v>
      </c>
      <c r="F21" t="s">
        <v>819</v>
      </c>
    </row>
    <row r="22" spans="2:6" x14ac:dyDescent="0.3">
      <c r="B22" t="s">
        <v>727</v>
      </c>
      <c r="F22" t="s">
        <v>820</v>
      </c>
    </row>
    <row r="23" spans="2:6" x14ac:dyDescent="0.3">
      <c r="B23" t="s">
        <v>712</v>
      </c>
      <c r="F23" t="s">
        <v>802</v>
      </c>
    </row>
    <row r="24" spans="2:6" x14ac:dyDescent="0.3">
      <c r="B24" t="s">
        <v>498</v>
      </c>
    </row>
    <row r="25" spans="2:6" x14ac:dyDescent="0.3">
      <c r="B25" t="s">
        <v>496</v>
      </c>
      <c r="E25" t="s">
        <v>762</v>
      </c>
      <c r="F25" t="s">
        <v>821</v>
      </c>
    </row>
    <row r="26" spans="2:6" x14ac:dyDescent="0.3">
      <c r="B26" t="s">
        <v>728</v>
      </c>
      <c r="F26" t="s">
        <v>822</v>
      </c>
    </row>
    <row r="27" spans="2:6" x14ac:dyDescent="0.3">
      <c r="B27" t="s">
        <v>463</v>
      </c>
      <c r="F27" t="s">
        <v>842</v>
      </c>
    </row>
    <row r="28" spans="2:6" x14ac:dyDescent="0.3">
      <c r="B28" t="s">
        <v>485</v>
      </c>
      <c r="F28" t="s">
        <v>823</v>
      </c>
    </row>
    <row r="29" spans="2:6" x14ac:dyDescent="0.3">
      <c r="B29" t="s">
        <v>404</v>
      </c>
      <c r="F29" t="s">
        <v>802</v>
      </c>
    </row>
    <row r="30" spans="2:6" x14ac:dyDescent="0.3">
      <c r="B30" t="s">
        <v>530</v>
      </c>
    </row>
    <row r="31" spans="2:6" x14ac:dyDescent="0.3">
      <c r="B31" t="s">
        <v>710</v>
      </c>
      <c r="E31" t="s">
        <v>770</v>
      </c>
      <c r="F31" t="s">
        <v>788</v>
      </c>
    </row>
    <row r="32" spans="2:6" x14ac:dyDescent="0.3">
      <c r="F32" t="s">
        <v>806</v>
      </c>
    </row>
    <row r="33" spans="1:6" x14ac:dyDescent="0.3">
      <c r="A33" t="s">
        <v>659</v>
      </c>
      <c r="B33" t="s">
        <v>10</v>
      </c>
      <c r="F33" t="s">
        <v>825</v>
      </c>
    </row>
    <row r="34" spans="1:6" x14ac:dyDescent="0.3">
      <c r="A34" t="s">
        <v>698</v>
      </c>
      <c r="B34" t="s">
        <v>570</v>
      </c>
      <c r="F34" t="s">
        <v>774</v>
      </c>
    </row>
    <row r="35" spans="1:6" x14ac:dyDescent="0.3">
      <c r="B35" t="s">
        <v>660</v>
      </c>
    </row>
    <row r="36" spans="1:6" x14ac:dyDescent="0.3">
      <c r="E36" t="s">
        <v>775</v>
      </c>
      <c r="F36" t="s">
        <v>827</v>
      </c>
    </row>
    <row r="37" spans="1:6" x14ac:dyDescent="0.3">
      <c r="A37" t="s">
        <v>717</v>
      </c>
      <c r="B37" t="s">
        <v>729</v>
      </c>
      <c r="F37" t="s">
        <v>843</v>
      </c>
    </row>
    <row r="38" spans="1:6" x14ac:dyDescent="0.3">
      <c r="A38">
        <v>5</v>
      </c>
      <c r="B38" t="s">
        <v>730</v>
      </c>
      <c r="F38" t="s">
        <v>826</v>
      </c>
    </row>
    <row r="39" spans="1:6" x14ac:dyDescent="0.3">
      <c r="B39" t="s">
        <v>705</v>
      </c>
      <c r="F39" t="s">
        <v>788</v>
      </c>
    </row>
    <row r="40" spans="1:6" x14ac:dyDescent="0.3">
      <c r="B40" t="s">
        <v>731</v>
      </c>
      <c r="F40" t="s">
        <v>772</v>
      </c>
    </row>
    <row r="41" spans="1:6" x14ac:dyDescent="0.3">
      <c r="B41" t="s">
        <v>732</v>
      </c>
      <c r="F41" t="s">
        <v>782</v>
      </c>
    </row>
    <row r="42" spans="1:6" x14ac:dyDescent="0.3">
      <c r="B42" t="s">
        <v>709</v>
      </c>
    </row>
    <row r="43" spans="1:6" x14ac:dyDescent="0.3">
      <c r="B43" t="s">
        <v>500</v>
      </c>
      <c r="E43" t="s">
        <v>783</v>
      </c>
      <c r="F43" t="s">
        <v>831</v>
      </c>
    </row>
    <row r="44" spans="1:6" x14ac:dyDescent="0.3">
      <c r="B44" t="s">
        <v>733</v>
      </c>
      <c r="F44" t="s">
        <v>833</v>
      </c>
    </row>
    <row r="45" spans="1:6" x14ac:dyDescent="0.3">
      <c r="B45" t="s">
        <v>734</v>
      </c>
      <c r="F45" t="s">
        <v>834</v>
      </c>
    </row>
    <row r="46" spans="1:6" x14ac:dyDescent="0.3">
      <c r="B46" t="s">
        <v>736</v>
      </c>
      <c r="F46" t="s">
        <v>797</v>
      </c>
    </row>
    <row r="47" spans="1:6" x14ac:dyDescent="0.3">
      <c r="B47" t="s">
        <v>735</v>
      </c>
      <c r="F47" t="s">
        <v>788</v>
      </c>
    </row>
    <row r="48" spans="1:6" x14ac:dyDescent="0.3">
      <c r="F48" t="s">
        <v>850</v>
      </c>
    </row>
    <row r="49" spans="5:6" x14ac:dyDescent="0.3">
      <c r="F49" t="s">
        <v>769</v>
      </c>
    </row>
    <row r="51" spans="5:6" x14ac:dyDescent="0.3">
      <c r="E51" t="s">
        <v>790</v>
      </c>
      <c r="F51" t="s">
        <v>845</v>
      </c>
    </row>
    <row r="52" spans="5:6" x14ac:dyDescent="0.3">
      <c r="F52" t="s">
        <v>792</v>
      </c>
    </row>
    <row r="54" spans="5:6" x14ac:dyDescent="0.3">
      <c r="E54" t="s">
        <v>793</v>
      </c>
      <c r="F54" t="s">
        <v>844</v>
      </c>
    </row>
    <row r="55" spans="5:6" x14ac:dyDescent="0.3">
      <c r="F55" t="s">
        <v>844</v>
      </c>
    </row>
    <row r="56" spans="5:6" x14ac:dyDescent="0.3">
      <c r="F56" t="s">
        <v>846</v>
      </c>
    </row>
    <row r="57" spans="5:6" x14ac:dyDescent="0.3">
      <c r="F57" t="s">
        <v>847</v>
      </c>
    </row>
    <row r="58" spans="5:6" x14ac:dyDescent="0.3">
      <c r="F58" t="s">
        <v>839</v>
      </c>
    </row>
    <row r="59" spans="5:6" x14ac:dyDescent="0.3">
      <c r="F59" t="s">
        <v>782</v>
      </c>
    </row>
    <row r="61" spans="5:6" x14ac:dyDescent="0.3">
      <c r="E61" t="s">
        <v>799</v>
      </c>
      <c r="F61" t="s">
        <v>844</v>
      </c>
    </row>
    <row r="62" spans="5:6" x14ac:dyDescent="0.3">
      <c r="F62" t="s">
        <v>844</v>
      </c>
    </row>
    <row r="63" spans="5:6" x14ac:dyDescent="0.3">
      <c r="F63" t="s">
        <v>848</v>
      </c>
    </row>
    <row r="64" spans="5:6" x14ac:dyDescent="0.3">
      <c r="F64" t="s">
        <v>840</v>
      </c>
    </row>
    <row r="65" spans="6:6" x14ac:dyDescent="0.3">
      <c r="F65" t="s">
        <v>789</v>
      </c>
    </row>
  </sheetData>
  <sortState xmlns:xlrd2="http://schemas.microsoft.com/office/spreadsheetml/2017/richdata2" ref="F61:F64">
    <sortCondition ref="F61:F64"/>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C377-ADA9-4BCC-BB75-8B13368D1BDB}">
  <dimension ref="A1:F65"/>
  <sheetViews>
    <sheetView topLeftCell="A5" workbookViewId="0">
      <selection activeCell="F18" sqref="F18"/>
    </sheetView>
  </sheetViews>
  <sheetFormatPr defaultRowHeight="14.4" x14ac:dyDescent="0.3"/>
  <cols>
    <col min="1" max="1" width="15.21875" bestFit="1" customWidth="1"/>
    <col min="2" max="2" width="9.88671875" bestFit="1" customWidth="1"/>
    <col min="5" max="5" width="23.33203125" bestFit="1" customWidth="1"/>
  </cols>
  <sheetData>
    <row r="1" spans="1:6" x14ac:dyDescent="0.3">
      <c r="A1" t="s">
        <v>633</v>
      </c>
      <c r="B1" t="s">
        <v>634</v>
      </c>
      <c r="E1" t="s">
        <v>739</v>
      </c>
      <c r="F1" t="s">
        <v>740</v>
      </c>
    </row>
    <row r="2" spans="1:6" x14ac:dyDescent="0.3">
      <c r="A2" t="s">
        <v>635</v>
      </c>
      <c r="B2" t="s">
        <v>591</v>
      </c>
      <c r="E2" t="s">
        <v>804</v>
      </c>
      <c r="F2" t="s">
        <v>812</v>
      </c>
    </row>
    <row r="3" spans="1:6" x14ac:dyDescent="0.3">
      <c r="A3" t="s">
        <v>715</v>
      </c>
      <c r="B3" t="s">
        <v>466</v>
      </c>
      <c r="F3" t="s">
        <v>747</v>
      </c>
    </row>
    <row r="4" spans="1:6" x14ac:dyDescent="0.3">
      <c r="B4" t="s">
        <v>0</v>
      </c>
      <c r="F4" t="s">
        <v>746</v>
      </c>
    </row>
    <row r="5" spans="1:6" x14ac:dyDescent="0.3">
      <c r="B5" t="s">
        <v>700</v>
      </c>
      <c r="F5" t="s">
        <v>744</v>
      </c>
    </row>
    <row r="6" spans="1:6" x14ac:dyDescent="0.3">
      <c r="B6" t="s">
        <v>699</v>
      </c>
      <c r="F6" t="s">
        <v>813</v>
      </c>
    </row>
    <row r="7" spans="1:6" x14ac:dyDescent="0.3">
      <c r="F7" t="s">
        <v>789</v>
      </c>
    </row>
    <row r="8" spans="1:6" x14ac:dyDescent="0.3">
      <c r="A8" t="s">
        <v>701</v>
      </c>
      <c r="B8" t="s">
        <v>703</v>
      </c>
    </row>
    <row r="9" spans="1:6" x14ac:dyDescent="0.3">
      <c r="A9" t="s">
        <v>698</v>
      </c>
      <c r="B9" t="s">
        <v>724</v>
      </c>
      <c r="E9" t="s">
        <v>749</v>
      </c>
      <c r="F9" t="s">
        <v>814</v>
      </c>
    </row>
    <row r="10" spans="1:6" x14ac:dyDescent="0.3">
      <c r="B10" t="s">
        <v>702</v>
      </c>
      <c r="F10" t="s">
        <v>815</v>
      </c>
    </row>
    <row r="11" spans="1:6" x14ac:dyDescent="0.3">
      <c r="F11" t="s">
        <v>751</v>
      </c>
    </row>
    <row r="12" spans="1:6" x14ac:dyDescent="0.3">
      <c r="A12" t="s">
        <v>644</v>
      </c>
      <c r="B12" t="s">
        <v>646</v>
      </c>
      <c r="F12" t="s">
        <v>816</v>
      </c>
    </row>
    <row r="13" spans="1:6" x14ac:dyDescent="0.3">
      <c r="A13" t="s">
        <v>716</v>
      </c>
      <c r="B13" t="s">
        <v>645</v>
      </c>
      <c r="F13" t="s">
        <v>765</v>
      </c>
    </row>
    <row r="14" spans="1:6" x14ac:dyDescent="0.3">
      <c r="F14" t="s">
        <v>782</v>
      </c>
    </row>
    <row r="15" spans="1:6" x14ac:dyDescent="0.3">
      <c r="A15" t="s">
        <v>652</v>
      </c>
      <c r="B15" t="s">
        <v>427</v>
      </c>
    </row>
    <row r="16" spans="1:6" x14ac:dyDescent="0.3">
      <c r="A16" t="s">
        <v>738</v>
      </c>
      <c r="B16" t="s">
        <v>428</v>
      </c>
      <c r="E16" t="s">
        <v>755</v>
      </c>
      <c r="F16" t="s">
        <v>803</v>
      </c>
    </row>
    <row r="17" spans="2:6" x14ac:dyDescent="0.3">
      <c r="B17" t="s">
        <v>429</v>
      </c>
      <c r="F17" t="s">
        <v>792</v>
      </c>
    </row>
    <row r="18" spans="2:6" x14ac:dyDescent="0.3">
      <c r="B18" t="s">
        <v>708</v>
      </c>
    </row>
    <row r="19" spans="2:6" x14ac:dyDescent="0.3">
      <c r="B19" t="s">
        <v>704</v>
      </c>
      <c r="E19" t="s">
        <v>756</v>
      </c>
      <c r="F19" t="s">
        <v>817</v>
      </c>
    </row>
    <row r="20" spans="2:6" x14ac:dyDescent="0.3">
      <c r="B20" t="s">
        <v>725</v>
      </c>
      <c r="F20" t="s">
        <v>818</v>
      </c>
    </row>
    <row r="21" spans="2:6" x14ac:dyDescent="0.3">
      <c r="B21" t="s">
        <v>726</v>
      </c>
      <c r="F21" t="s">
        <v>819</v>
      </c>
    </row>
    <row r="22" spans="2:6" x14ac:dyDescent="0.3">
      <c r="B22" t="s">
        <v>727</v>
      </c>
      <c r="C22" t="s">
        <v>711</v>
      </c>
      <c r="F22" t="s">
        <v>820</v>
      </c>
    </row>
    <row r="23" spans="2:6" x14ac:dyDescent="0.3">
      <c r="B23" t="s">
        <v>712</v>
      </c>
      <c r="F23" t="s">
        <v>802</v>
      </c>
    </row>
    <row r="24" spans="2:6" x14ac:dyDescent="0.3">
      <c r="B24" t="s">
        <v>498</v>
      </c>
    </row>
    <row r="25" spans="2:6" x14ac:dyDescent="0.3">
      <c r="B25" t="s">
        <v>496</v>
      </c>
      <c r="E25" t="s">
        <v>762</v>
      </c>
      <c r="F25" t="s">
        <v>821</v>
      </c>
    </row>
    <row r="26" spans="2:6" x14ac:dyDescent="0.3">
      <c r="B26" t="s">
        <v>728</v>
      </c>
      <c r="F26" t="s">
        <v>822</v>
      </c>
    </row>
    <row r="27" spans="2:6" x14ac:dyDescent="0.3">
      <c r="B27" t="s">
        <v>463</v>
      </c>
      <c r="F27" t="s">
        <v>842</v>
      </c>
    </row>
    <row r="28" spans="2:6" x14ac:dyDescent="0.3">
      <c r="B28" t="s">
        <v>485</v>
      </c>
      <c r="F28" t="s">
        <v>823</v>
      </c>
    </row>
    <row r="29" spans="2:6" x14ac:dyDescent="0.3">
      <c r="B29" t="s">
        <v>404</v>
      </c>
      <c r="F29" t="s">
        <v>802</v>
      </c>
    </row>
    <row r="30" spans="2:6" x14ac:dyDescent="0.3">
      <c r="B30" t="s">
        <v>530</v>
      </c>
    </row>
    <row r="31" spans="2:6" x14ac:dyDescent="0.3">
      <c r="B31" t="s">
        <v>710</v>
      </c>
      <c r="E31" t="s">
        <v>770</v>
      </c>
      <c r="F31" t="s">
        <v>806</v>
      </c>
    </row>
    <row r="32" spans="2:6" x14ac:dyDescent="0.3">
      <c r="F32" t="s">
        <v>825</v>
      </c>
    </row>
    <row r="33" spans="1:6" x14ac:dyDescent="0.3">
      <c r="A33" t="s">
        <v>659</v>
      </c>
      <c r="B33" t="s">
        <v>10</v>
      </c>
      <c r="F33" t="s">
        <v>788</v>
      </c>
    </row>
    <row r="34" spans="1:6" x14ac:dyDescent="0.3">
      <c r="A34" t="s">
        <v>698</v>
      </c>
      <c r="B34" t="s">
        <v>570</v>
      </c>
      <c r="F34" t="s">
        <v>774</v>
      </c>
    </row>
    <row r="35" spans="1:6" x14ac:dyDescent="0.3">
      <c r="B35" t="s">
        <v>660</v>
      </c>
    </row>
    <row r="36" spans="1:6" x14ac:dyDescent="0.3">
      <c r="E36" t="s">
        <v>775</v>
      </c>
      <c r="F36" t="s">
        <v>827</v>
      </c>
    </row>
    <row r="37" spans="1:6" x14ac:dyDescent="0.3">
      <c r="A37" t="s">
        <v>717</v>
      </c>
      <c r="B37" t="s">
        <v>729</v>
      </c>
      <c r="F37" t="s">
        <v>843</v>
      </c>
    </row>
    <row r="38" spans="1:6" x14ac:dyDescent="0.3">
      <c r="A38">
        <v>5</v>
      </c>
      <c r="B38" t="s">
        <v>732</v>
      </c>
      <c r="F38" t="s">
        <v>826</v>
      </c>
    </row>
    <row r="39" spans="1:6" x14ac:dyDescent="0.3">
      <c r="B39" t="s">
        <v>873</v>
      </c>
      <c r="F39" t="s">
        <v>788</v>
      </c>
    </row>
    <row r="40" spans="1:6" x14ac:dyDescent="0.3">
      <c r="B40" t="s">
        <v>500</v>
      </c>
      <c r="F40" t="s">
        <v>772</v>
      </c>
    </row>
    <row r="41" spans="1:6" x14ac:dyDescent="0.3">
      <c r="B41" t="s">
        <v>734</v>
      </c>
      <c r="F41" t="s">
        <v>782</v>
      </c>
    </row>
    <row r="42" spans="1:6" x14ac:dyDescent="0.3">
      <c r="B42" t="s">
        <v>736</v>
      </c>
    </row>
    <row r="43" spans="1:6" x14ac:dyDescent="0.3">
      <c r="B43" t="s">
        <v>875</v>
      </c>
      <c r="E43" t="s">
        <v>783</v>
      </c>
      <c r="F43" t="s">
        <v>831</v>
      </c>
    </row>
    <row r="44" spans="1:6" x14ac:dyDescent="0.3">
      <c r="F44" t="s">
        <v>833</v>
      </c>
    </row>
    <row r="45" spans="1:6" x14ac:dyDescent="0.3">
      <c r="F45" t="s">
        <v>834</v>
      </c>
    </row>
    <row r="46" spans="1:6" x14ac:dyDescent="0.3">
      <c r="F46" t="s">
        <v>797</v>
      </c>
    </row>
    <row r="47" spans="1:6" x14ac:dyDescent="0.3">
      <c r="F47" t="s">
        <v>844</v>
      </c>
    </row>
    <row r="48" spans="1:6" x14ac:dyDescent="0.3">
      <c r="F48" t="s">
        <v>788</v>
      </c>
    </row>
    <row r="49" spans="5:6" x14ac:dyDescent="0.3">
      <c r="F49" t="s">
        <v>769</v>
      </c>
    </row>
    <row r="51" spans="5:6" x14ac:dyDescent="0.3">
      <c r="E51" t="s">
        <v>790</v>
      </c>
      <c r="F51" t="s">
        <v>878</v>
      </c>
    </row>
    <row r="52" spans="5:6" x14ac:dyDescent="0.3">
      <c r="F52" t="s">
        <v>792</v>
      </c>
    </row>
    <row r="54" spans="5:6" x14ac:dyDescent="0.3">
      <c r="E54" t="s">
        <v>793</v>
      </c>
      <c r="F54" t="s">
        <v>846</v>
      </c>
    </row>
    <row r="55" spans="5:6" x14ac:dyDescent="0.3">
      <c r="F55" t="s">
        <v>847</v>
      </c>
    </row>
    <row r="56" spans="5:6" x14ac:dyDescent="0.3">
      <c r="F56" t="s">
        <v>839</v>
      </c>
    </row>
    <row r="57" spans="5:6" x14ac:dyDescent="0.3">
      <c r="F57" t="s">
        <v>844</v>
      </c>
    </row>
    <row r="58" spans="5:6" x14ac:dyDescent="0.3">
      <c r="F58" t="s">
        <v>844</v>
      </c>
    </row>
    <row r="59" spans="5:6" x14ac:dyDescent="0.3">
      <c r="F59" t="s">
        <v>782</v>
      </c>
    </row>
    <row r="61" spans="5:6" x14ac:dyDescent="0.3">
      <c r="E61" t="s">
        <v>799</v>
      </c>
      <c r="F61" t="s">
        <v>879</v>
      </c>
    </row>
    <row r="62" spans="5:6" x14ac:dyDescent="0.3">
      <c r="F62" t="s">
        <v>840</v>
      </c>
    </row>
    <row r="63" spans="5:6" x14ac:dyDescent="0.3">
      <c r="F63" t="s">
        <v>844</v>
      </c>
    </row>
    <row r="64" spans="5:6" x14ac:dyDescent="0.3">
      <c r="F64" t="s">
        <v>844</v>
      </c>
    </row>
    <row r="65" spans="6:6" x14ac:dyDescent="0.3">
      <c r="F65" t="s">
        <v>789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Courses</vt:lpstr>
      <vt:lpstr>Course Groups</vt:lpstr>
      <vt:lpstr>BSCP 22</vt:lpstr>
      <vt:lpstr>BSCP 23</vt:lpstr>
      <vt:lpstr>BSCS 22</vt:lpstr>
      <vt:lpstr>BSCS 23</vt:lpstr>
      <vt:lpstr>BSCYS 22</vt:lpstr>
      <vt:lpstr>BSCYS 23</vt:lpstr>
      <vt:lpstr>BSIT 22</vt:lpstr>
      <vt:lpstr>BSIT 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Anderson</dc:creator>
  <cp:lastModifiedBy>Matthew Anderson</cp:lastModifiedBy>
  <dcterms:created xsi:type="dcterms:W3CDTF">2025-11-21T03:56:24Z</dcterms:created>
  <dcterms:modified xsi:type="dcterms:W3CDTF">2025-11-30T07:20:51Z</dcterms:modified>
</cp:coreProperties>
</file>